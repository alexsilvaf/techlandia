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Modelos da Techlândia\"/>
    </mc:Choice>
  </mc:AlternateContent>
  <xr:revisionPtr revIDLastSave="0" documentId="13_ncr:1_{F69E34D2-CDFE-44DB-8F1E-2EA35934C64B}" xr6:coauthVersionLast="47" xr6:coauthVersionMax="47" xr10:uidLastSave="{00000000-0000-0000-0000-000000000000}"/>
  <bookViews>
    <workbookView xWindow="-120" yWindow="-120" windowWidth="24240" windowHeight="13140" tabRatio="696" activeTab="2" xr2:uid="{8D112610-81C9-405D-8657-196A89AEF7F9}"/>
  </bookViews>
  <sheets>
    <sheet name="Página Inicial" sheetId="41" r:id="rId1"/>
    <sheet name="Funcionários" sheetId="33" r:id="rId2"/>
    <sheet name="Produtos" sheetId="35" r:id="rId3"/>
    <sheet name="Clientes" sheetId="34" r:id="rId4"/>
    <sheet name="Contas" sheetId="26" r:id="rId5"/>
    <sheet name="Ordem de Serviço" sheetId="40" r:id="rId6"/>
    <sheet name="Estoque" sheetId="39" r:id="rId7"/>
    <sheet name="Configurações" sheetId="42" r:id="rId8"/>
    <sheet name="FiltroOS" sheetId="43" r:id="rId9"/>
    <sheet name="FiltroFunc" sheetId="44" r:id="rId10"/>
  </sheets>
  <functionGroups builtInGroupCount="19"/>
  <definedNames>
    <definedName name="_xlnm._FilterDatabase" localSheetId="7" hidden="1">Configurações!$H$3:$H$13</definedName>
    <definedName name="_xlnm._FilterDatabase" localSheetId="5" hidden="1">'Ordem de Serviço'!$B$4:$M$5</definedName>
    <definedName name="_xlnm.Extract" localSheetId="8">FiltroOS!$B$5:$L$5</definedName>
    <definedName name="_xlnm.Criteria" localSheetId="8">FiltroOS!$B$2:$L$3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26" l="1"/>
  <c r="F7" i="26"/>
  <c r="G7" i="26"/>
  <c r="E6" i="26"/>
  <c r="F6" i="26"/>
  <c r="G6" i="26"/>
  <c r="G5" i="26"/>
  <c r="F5" i="26"/>
  <c r="E5" i="26"/>
  <c r="F6" i="39"/>
  <c r="F7" i="39"/>
  <c r="F8" i="39"/>
  <c r="F9" i="39"/>
  <c r="F5" i="39"/>
</calcChain>
</file>

<file path=xl/sharedStrings.xml><?xml version="1.0" encoding="utf-8"?>
<sst xmlns="http://schemas.openxmlformats.org/spreadsheetml/2006/main" count="341" uniqueCount="202">
  <si>
    <t>CELULAR</t>
  </si>
  <si>
    <t>Alex</t>
  </si>
  <si>
    <t>(27) 9 9934-6014</t>
  </si>
  <si>
    <t>Nome</t>
  </si>
  <si>
    <t>Login</t>
  </si>
  <si>
    <t>Senha</t>
  </si>
  <si>
    <t>Setor</t>
  </si>
  <si>
    <t>Nome Completo</t>
  </si>
  <si>
    <t>Data de Nascimento</t>
  </si>
  <si>
    <t>Endereço</t>
  </si>
  <si>
    <t>Cargo</t>
  </si>
  <si>
    <t>Alex da Silva Ferreira</t>
  </si>
  <si>
    <t>Técnico</t>
  </si>
  <si>
    <t>Status</t>
  </si>
  <si>
    <t>Ativo</t>
  </si>
  <si>
    <t>DATA DE ADMISSÃO</t>
  </si>
  <si>
    <t>RG</t>
  </si>
  <si>
    <t>CPF</t>
  </si>
  <si>
    <t>Faixa Salarial</t>
  </si>
  <si>
    <t>DEPENDENTES</t>
  </si>
  <si>
    <t>Desenvolvedor</t>
  </si>
  <si>
    <t>R$ 20.000,00</t>
  </si>
  <si>
    <t>CTPS</t>
  </si>
  <si>
    <t>9083273-0050</t>
  </si>
  <si>
    <t>Centro, R. 23 de Maio, nº 55, Apto 204</t>
  </si>
  <si>
    <t xml:space="preserve"> </t>
  </si>
  <si>
    <t>Processador</t>
  </si>
  <si>
    <t>Placa-Mãe</t>
  </si>
  <si>
    <t>Fonte</t>
  </si>
  <si>
    <t>Memória RAM</t>
  </si>
  <si>
    <t>Placa de Vídeo</t>
  </si>
  <si>
    <t>Dispositivo de Armazenamento 1</t>
  </si>
  <si>
    <t>Dispositivo de Armazenamento 2</t>
  </si>
  <si>
    <t>Patrimônio</t>
  </si>
  <si>
    <t>Monitor</t>
  </si>
  <si>
    <t>Gabinete</t>
  </si>
  <si>
    <t>Teclado</t>
  </si>
  <si>
    <t>Mouse</t>
  </si>
  <si>
    <t>Fone de Ouvido</t>
  </si>
  <si>
    <t>Cidade</t>
  </si>
  <si>
    <t>Bairro</t>
  </si>
  <si>
    <t>Rua</t>
  </si>
  <si>
    <t>Número</t>
  </si>
  <si>
    <t>CEP</t>
  </si>
  <si>
    <t>Complemento</t>
  </si>
  <si>
    <t>LOCALIZAÇÃO</t>
  </si>
  <si>
    <t>Código do Cliente</t>
  </si>
  <si>
    <t>Nome da Empresa</t>
  </si>
  <si>
    <t>Nome Fantasia</t>
  </si>
  <si>
    <t>Tensão do Local</t>
  </si>
  <si>
    <t>Tipo de Tomada</t>
  </si>
  <si>
    <t>Telefone do Responsável</t>
  </si>
  <si>
    <t>Horário de Funcionamento</t>
  </si>
  <si>
    <t>Nome do Setor</t>
  </si>
  <si>
    <t>Dificuldade de Acesso</t>
  </si>
  <si>
    <t>Requisitos Adicionais</t>
  </si>
  <si>
    <t>Nome do Responsável</t>
  </si>
  <si>
    <t>MÊS</t>
  </si>
  <si>
    <t>DIA</t>
  </si>
  <si>
    <t>Código</t>
  </si>
  <si>
    <t>Empresa</t>
  </si>
  <si>
    <t>CNPJ</t>
  </si>
  <si>
    <t>PERÍODO DE CONTRATO</t>
  </si>
  <si>
    <t>Nota Fiscal</t>
  </si>
  <si>
    <t>Pagamento Referente ao mês de:</t>
  </si>
  <si>
    <t>OS</t>
  </si>
  <si>
    <t>SÉRIE</t>
  </si>
  <si>
    <t>TIPO DE OS</t>
  </si>
  <si>
    <t>ESTADO DO EQUIPAMENTO</t>
  </si>
  <si>
    <t>PROBLEMA</t>
  </si>
  <si>
    <t>SOLICITANTE</t>
  </si>
  <si>
    <t>SERVIÇO</t>
  </si>
  <si>
    <t>ABERTO POR</t>
  </si>
  <si>
    <t>DATA DE ABERTURA</t>
  </si>
  <si>
    <t>Daniel Vieira Rodrigues</t>
  </si>
  <si>
    <t>Pedro</t>
  </si>
  <si>
    <t>Fênix - Gráfica e Outsoursing de Impressão</t>
  </si>
  <si>
    <t>PRODUTO</t>
  </si>
  <si>
    <t>NF</t>
  </si>
  <si>
    <t>QNTD.</t>
  </si>
  <si>
    <t>FORNECEDOR</t>
  </si>
  <si>
    <t>VALOR TOTAL</t>
  </si>
  <si>
    <t>VALOR UNIT.</t>
  </si>
  <si>
    <t>Daniel</t>
  </si>
  <si>
    <t>127.556.100-36</t>
  </si>
  <si>
    <t>Administrativo</t>
  </si>
  <si>
    <t>3.994.799-0</t>
  </si>
  <si>
    <t>3.556.662-2</t>
  </si>
  <si>
    <t>165.444.001-38</t>
  </si>
  <si>
    <t>7452516-6189</t>
  </si>
  <si>
    <t>(27) 9 9981-6814</t>
  </si>
  <si>
    <t>(27) 9 8554-6679</t>
  </si>
  <si>
    <t>Cariacica, Novo Oriente, R. África, nº 03</t>
  </si>
  <si>
    <t>daniel123</t>
  </si>
  <si>
    <t>alex123</t>
  </si>
  <si>
    <t>daniel</t>
  </si>
  <si>
    <t>alex</t>
  </si>
  <si>
    <t xml:space="preserve">Kingston A400 240GB </t>
  </si>
  <si>
    <t>Cousair Vengeance 8GB 3000 MHz</t>
  </si>
  <si>
    <t>Corsair VS400 80PLUS WHITE</t>
  </si>
  <si>
    <t>Asus H410M-E</t>
  </si>
  <si>
    <t>Intel Core I3-10100</t>
  </si>
  <si>
    <t>Samsung 21.5'</t>
  </si>
  <si>
    <t>Dell KB216</t>
  </si>
  <si>
    <t>Logitech M170</t>
  </si>
  <si>
    <t>Office Aigo J3</t>
  </si>
  <si>
    <t>00000-000</t>
  </si>
  <si>
    <t>Vitória</t>
  </si>
  <si>
    <t>Bento Ferreira</t>
  </si>
  <si>
    <t>Av. Mal. Mascarenhas de Moraes</t>
  </si>
  <si>
    <t>Ao lado do SENAI</t>
  </si>
  <si>
    <t>1 Ano</t>
  </si>
  <si>
    <t>Dell KB217</t>
  </si>
  <si>
    <t>Logitech M171</t>
  </si>
  <si>
    <t>Office Aigo J4</t>
  </si>
  <si>
    <t>00000-001</t>
  </si>
  <si>
    <t>Intel Core I3-10102</t>
  </si>
  <si>
    <t>Dell KB218</t>
  </si>
  <si>
    <t>Logitech M172</t>
  </si>
  <si>
    <t>Office Aigo J5</t>
  </si>
  <si>
    <t>00000-002</t>
  </si>
  <si>
    <t>AMD Ryzen 5 3600</t>
  </si>
  <si>
    <t>Asus B450M</t>
  </si>
  <si>
    <t>Afox Geforce GT 730</t>
  </si>
  <si>
    <t xml:space="preserve">WD Blue 500 GB  </t>
  </si>
  <si>
    <t>000.000.000/0000-00</t>
  </si>
  <si>
    <t>SENAC - Serviço Nacional de Aprendizagem Comercial</t>
  </si>
  <si>
    <t>SENAC</t>
  </si>
  <si>
    <t>110V</t>
  </si>
  <si>
    <t>3 Pinos</t>
  </si>
  <si>
    <t>Francisco</t>
  </si>
  <si>
    <t>(27) 0000-0000</t>
  </si>
  <si>
    <t>Vitória-ES</t>
  </si>
  <si>
    <t>8h às 17h</t>
  </si>
  <si>
    <t>Sala 501</t>
  </si>
  <si>
    <t>DATA DE AQUISIÇÃO</t>
  </si>
  <si>
    <t>Sala 502</t>
  </si>
  <si>
    <t>Sala 503</t>
  </si>
  <si>
    <t>3 Anos</t>
  </si>
  <si>
    <t>2 Anos</t>
  </si>
  <si>
    <t>000.000.000/0000-01</t>
  </si>
  <si>
    <t>Techlândia - Techlogies Solutions</t>
  </si>
  <si>
    <t>Techlândia</t>
  </si>
  <si>
    <t>Kabum</t>
  </si>
  <si>
    <t>Março</t>
  </si>
  <si>
    <t>Fevereiro</t>
  </si>
  <si>
    <t>Abril</t>
  </si>
  <si>
    <t>CADASTRO DE FUNCIONÁRIOS</t>
  </si>
  <si>
    <t>Situação</t>
  </si>
  <si>
    <t>Administrador</t>
  </si>
  <si>
    <t>Desativado</t>
  </si>
  <si>
    <t>Assistente Administrativo</t>
  </si>
  <si>
    <t>Técnico Interno</t>
  </si>
  <si>
    <t>Técnico Externo</t>
  </si>
  <si>
    <t>Comercial</t>
  </si>
  <si>
    <t>Assistente Comercial</t>
  </si>
  <si>
    <t>R$ 10.000,00</t>
  </si>
  <si>
    <t>E-mail</t>
  </si>
  <si>
    <t>techlandia@hotmail.com</t>
  </si>
  <si>
    <t>senac@hotmail.com</t>
  </si>
  <si>
    <t>000.000.000/0000-02</t>
  </si>
  <si>
    <t>Empresa Fênix</t>
  </si>
  <si>
    <t>atendimento@empresafenix.com.br</t>
  </si>
  <si>
    <t>Centro</t>
  </si>
  <si>
    <t>Na frente da OAB</t>
  </si>
  <si>
    <t>8h às 18h</t>
  </si>
  <si>
    <t>R. Alberto de Oliveira Santos</t>
  </si>
  <si>
    <t>29010-250</t>
  </si>
  <si>
    <t>R. José Alexandre Buaiz</t>
  </si>
  <si>
    <t>Enseada do Suá</t>
  </si>
  <si>
    <t>29050-410</t>
  </si>
  <si>
    <t>29050-625</t>
  </si>
  <si>
    <t>SLA</t>
  </si>
  <si>
    <t>1H</t>
  </si>
  <si>
    <t>8H</t>
  </si>
  <si>
    <t>24H</t>
  </si>
  <si>
    <t>Modelo do Equipamento</t>
  </si>
  <si>
    <t>Desktop Intel Entrada</t>
  </si>
  <si>
    <t>Desktop AMD Entrada</t>
  </si>
  <si>
    <t>PARCIALMENTE OPERANTE</t>
  </si>
  <si>
    <t>EQUIPAMENTO PARADO</t>
  </si>
  <si>
    <t>PERFEITAS CONDIÇÕES</t>
  </si>
  <si>
    <t>ORDEM DE SERVIÇO</t>
  </si>
  <si>
    <t>HD</t>
  </si>
  <si>
    <t>EQUIPAMENTO QUEBRADO</t>
  </si>
  <si>
    <t>COOLER</t>
  </si>
  <si>
    <t>FONE DE OUVIDO</t>
  </si>
  <si>
    <t>FONTE</t>
  </si>
  <si>
    <t>GABINETE</t>
  </si>
  <si>
    <t>MEMÓRIA-RAM</t>
  </si>
  <si>
    <t>MONITOR</t>
  </si>
  <si>
    <t>MOUSE</t>
  </si>
  <si>
    <t>PLACA DE VÍDEO</t>
  </si>
  <si>
    <t>PROCESSADOR</t>
  </si>
  <si>
    <t>TECLADO</t>
  </si>
  <si>
    <t>ASSISTENCIA</t>
  </si>
  <si>
    <t>MANUTENÇÃO PREVENTIVA</t>
  </si>
  <si>
    <t>MUDANÇA DE LOCAL</t>
  </si>
  <si>
    <t>INSTALAÇÃO</t>
  </si>
  <si>
    <t>DESINSTALAÇAO</t>
  </si>
  <si>
    <t>HORA DE ABERTURA</t>
  </si>
  <si>
    <t>Cliente relata que equipamento não liga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</si>
</sst>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00"/>
    <numFmt numFmtId="165" formatCode="\(00\)\ 0\ 0000\-0000"/>
    <numFmt numFmtId="166" formatCode="#####\-#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Bahnschrift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23">
    <xf numFmtId="0" fontId="0" fillId="0" borderId="0" xfId="0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4" fontId="0" fillId="0" borderId="1" xfId="1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44" fontId="0" fillId="0" borderId="4" xfId="1" applyFont="1" applyBorder="1" applyAlignment="1">
      <alignment horizontal="center"/>
    </xf>
    <xf numFmtId="44" fontId="0" fillId="0" borderId="5" xfId="1" applyFont="1" applyBorder="1" applyAlignment="1">
      <alignment horizontal="center"/>
    </xf>
    <xf numFmtId="44" fontId="0" fillId="0" borderId="6" xfId="1" applyFont="1" applyBorder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1" applyFont="1"/>
    <xf numFmtId="0" fontId="1" fillId="0" borderId="7" xfId="0" applyFont="1" applyBorder="1" applyAlignment="1">
      <alignment horizontal="center" vertical="center" wrapText="1"/>
    </xf>
    <xf numFmtId="164" fontId="1" fillId="0" borderId="7" xfId="0" applyNumberFormat="1" applyFont="1" applyBorder="1" applyAlignment="1">
      <alignment horizontal="center" vertical="center" wrapText="1"/>
    </xf>
    <xf numFmtId="165" fontId="1" fillId="0" borderId="7" xfId="0" applyNumberFormat="1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/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/>
    <xf numFmtId="0" fontId="0" fillId="0" borderId="12" xfId="0" applyBorder="1" applyAlignment="1">
      <alignment horizontal="center"/>
    </xf>
    <xf numFmtId="0" fontId="0" fillId="0" borderId="10" xfId="0" applyBorder="1"/>
    <xf numFmtId="0" fontId="0" fillId="0" borderId="7" xfId="0" applyBorder="1" applyAlignment="1"/>
    <xf numFmtId="44" fontId="0" fillId="0" borderId="3" xfId="1" applyFont="1" applyBorder="1" applyAlignment="1">
      <alignment horizontal="center"/>
    </xf>
    <xf numFmtId="44" fontId="0" fillId="0" borderId="12" xfId="0" applyNumberForma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0" fillId="0" borderId="2" xfId="1" applyNumberFormat="1" applyFont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44" fontId="0" fillId="0" borderId="7" xfId="1" applyFont="1" applyBorder="1" applyAlignment="1">
      <alignment horizontal="center"/>
    </xf>
    <xf numFmtId="44" fontId="1" fillId="0" borderId="7" xfId="1" applyFont="1" applyBorder="1" applyAlignment="1">
      <alignment horizontal="center" vertical="center" wrapText="1"/>
    </xf>
    <xf numFmtId="14" fontId="0" fillId="0" borderId="0" xfId="0" applyNumberFormat="1"/>
    <xf numFmtId="14" fontId="0" fillId="0" borderId="7" xfId="0" applyNumberFormat="1" applyBorder="1" applyAlignment="1">
      <alignment horizontal="center"/>
    </xf>
    <xf numFmtId="14" fontId="1" fillId="0" borderId="7" xfId="0" applyNumberFormat="1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44" fontId="0" fillId="0" borderId="0" xfId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3" xfId="2" applyBorder="1" applyAlignment="1">
      <alignment horizontal="center" vertical="center"/>
    </xf>
    <xf numFmtId="0" fontId="7" fillId="0" borderId="1" xfId="2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5" xfId="2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6" fontId="0" fillId="0" borderId="3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166" fontId="0" fillId="0" borderId="5" xfId="1" applyNumberFormat="1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1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8" fontId="0" fillId="0" borderId="11" xfId="1" applyNumberFormat="1" applyFont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8" fontId="0" fillId="0" borderId="1" xfId="1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3" xfId="0" applyFont="1" applyBorder="1" applyAlignment="1"/>
    <xf numFmtId="0" fontId="0" fillId="0" borderId="13" xfId="0" applyFont="1" applyFill="1" applyBorder="1" applyAlignment="1">
      <alignment vertical="center"/>
    </xf>
    <xf numFmtId="0" fontId="0" fillId="0" borderId="0" xfId="0" applyFont="1" applyFill="1" applyBorder="1" applyAlignment="1"/>
    <xf numFmtId="0" fontId="0" fillId="0" borderId="15" xfId="0" applyFill="1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 vertical="center"/>
    </xf>
    <xf numFmtId="0" fontId="0" fillId="0" borderId="11" xfId="0" applyBorder="1" applyAlignment="1">
      <alignment horizontal="left"/>
    </xf>
    <xf numFmtId="0" fontId="0" fillId="0" borderId="7" xfId="0" applyFont="1" applyBorder="1" applyAlignment="1">
      <alignment horizontal="center"/>
    </xf>
    <xf numFmtId="0" fontId="0" fillId="0" borderId="0" xfId="0" applyAlignment="1"/>
    <xf numFmtId="0" fontId="0" fillId="0" borderId="7" xfId="0" applyFill="1" applyBorder="1" applyAlignment="1">
      <alignment horizontal="center" vertical="center"/>
    </xf>
    <xf numFmtId="0" fontId="0" fillId="0" borderId="14" xfId="0" applyFont="1" applyBorder="1" applyAlignment="1">
      <alignment vertical="center" wrapText="1"/>
    </xf>
    <xf numFmtId="0" fontId="0" fillId="0" borderId="13" xfId="0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11" xfId="0" applyNumberFormat="1" applyBorder="1" applyAlignment="1"/>
    <xf numFmtId="19" fontId="0" fillId="0" borderId="11" xfId="0" applyNumberFormat="1" applyBorder="1"/>
    <xf numFmtId="0" fontId="1" fillId="0" borderId="7" xfId="0" applyFont="1" applyBorder="1" applyAlignment="1">
      <alignment vertic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800000"/>
      <color rgb="FF00002E"/>
      <color rgb="FF0000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23" Type="http://schemas.openxmlformats.org/officeDocument/2006/relationships/image" Target="../media/image16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svg"/><Relationship Id="rId26" Type="http://schemas.openxmlformats.org/officeDocument/2006/relationships/image" Target="../media/image42.svg"/><Relationship Id="rId39" Type="http://schemas.openxmlformats.org/officeDocument/2006/relationships/hyperlink" Target="#Produtos!A1"/><Relationship Id="rId21" Type="http://schemas.openxmlformats.org/officeDocument/2006/relationships/image" Target="../media/image37.png"/><Relationship Id="rId34" Type="http://schemas.openxmlformats.org/officeDocument/2006/relationships/image" Target="../media/image4.png"/><Relationship Id="rId42" Type="http://schemas.openxmlformats.org/officeDocument/2006/relationships/hyperlink" Target="#Contas!A1"/><Relationship Id="rId47" Type="http://schemas.openxmlformats.org/officeDocument/2006/relationships/image" Target="../media/image13.svg"/><Relationship Id="rId50" Type="http://schemas.openxmlformats.org/officeDocument/2006/relationships/image" Target="../media/image15.sv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6" Type="http://schemas.openxmlformats.org/officeDocument/2006/relationships/image" Target="../media/image32.svg"/><Relationship Id="rId29" Type="http://schemas.openxmlformats.org/officeDocument/2006/relationships/image" Target="../media/image1.png"/><Relationship Id="rId11" Type="http://schemas.openxmlformats.org/officeDocument/2006/relationships/image" Target="../media/image27.png"/><Relationship Id="rId24" Type="http://schemas.openxmlformats.org/officeDocument/2006/relationships/image" Target="../media/image40.svg"/><Relationship Id="rId32" Type="http://schemas.openxmlformats.org/officeDocument/2006/relationships/image" Target="../media/image3.svg"/><Relationship Id="rId37" Type="http://schemas.openxmlformats.org/officeDocument/2006/relationships/image" Target="../media/image6.png"/><Relationship Id="rId40" Type="http://schemas.openxmlformats.org/officeDocument/2006/relationships/image" Target="../media/image8.png"/><Relationship Id="rId45" Type="http://schemas.openxmlformats.org/officeDocument/2006/relationships/hyperlink" Target="#Funcion&#225;rios!A1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svg"/><Relationship Id="rId36" Type="http://schemas.openxmlformats.org/officeDocument/2006/relationships/hyperlink" Target="#Clientes!A1"/><Relationship Id="rId49" Type="http://schemas.openxmlformats.org/officeDocument/2006/relationships/image" Target="../media/image14.png"/><Relationship Id="rId10" Type="http://schemas.openxmlformats.org/officeDocument/2006/relationships/image" Target="../media/image26.svg"/><Relationship Id="rId19" Type="http://schemas.openxmlformats.org/officeDocument/2006/relationships/image" Target="../media/image35.png"/><Relationship Id="rId31" Type="http://schemas.openxmlformats.org/officeDocument/2006/relationships/image" Target="../media/image2.png"/><Relationship Id="rId44" Type="http://schemas.openxmlformats.org/officeDocument/2006/relationships/image" Target="../media/image46.svg"/><Relationship Id="rId4" Type="http://schemas.openxmlformats.org/officeDocument/2006/relationships/image" Target="../media/image20.svg"/><Relationship Id="rId9" Type="http://schemas.openxmlformats.org/officeDocument/2006/relationships/image" Target="../media/image25.png"/><Relationship Id="rId14" Type="http://schemas.openxmlformats.org/officeDocument/2006/relationships/image" Target="../media/image30.svg"/><Relationship Id="rId22" Type="http://schemas.openxmlformats.org/officeDocument/2006/relationships/image" Target="../media/image38.svg"/><Relationship Id="rId27" Type="http://schemas.openxmlformats.org/officeDocument/2006/relationships/image" Target="../media/image43.png"/><Relationship Id="rId30" Type="http://schemas.openxmlformats.org/officeDocument/2006/relationships/hyperlink" Target="#'P&#225;gina Inicial'!A1"/><Relationship Id="rId35" Type="http://schemas.openxmlformats.org/officeDocument/2006/relationships/image" Target="../media/image5.svg"/><Relationship Id="rId43" Type="http://schemas.openxmlformats.org/officeDocument/2006/relationships/image" Target="../media/image45.png"/><Relationship Id="rId48" Type="http://schemas.openxmlformats.org/officeDocument/2006/relationships/hyperlink" Target="#Estoque!A1"/><Relationship Id="rId8" Type="http://schemas.openxmlformats.org/officeDocument/2006/relationships/image" Target="../media/image24.svg"/><Relationship Id="rId3" Type="http://schemas.openxmlformats.org/officeDocument/2006/relationships/image" Target="../media/image19.png"/><Relationship Id="rId12" Type="http://schemas.openxmlformats.org/officeDocument/2006/relationships/image" Target="../media/image28.sv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hyperlink" Target="#'Ordem de Servi&#231;o'!A1"/><Relationship Id="rId38" Type="http://schemas.openxmlformats.org/officeDocument/2006/relationships/image" Target="../media/image7.svg"/><Relationship Id="rId46" Type="http://schemas.openxmlformats.org/officeDocument/2006/relationships/image" Target="../media/image12.png"/><Relationship Id="rId20" Type="http://schemas.openxmlformats.org/officeDocument/2006/relationships/image" Target="../media/image36.svg"/><Relationship Id="rId41" Type="http://schemas.openxmlformats.org/officeDocument/2006/relationships/image" Target="../media/image9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49.png"/><Relationship Id="rId39" Type="http://schemas.openxmlformats.org/officeDocument/2006/relationships/image" Target="../media/image62.png"/><Relationship Id="rId21" Type="http://schemas.openxmlformats.org/officeDocument/2006/relationships/image" Target="../media/image47.png"/><Relationship Id="rId34" Type="http://schemas.openxmlformats.org/officeDocument/2006/relationships/image" Target="../media/image57.png"/><Relationship Id="rId42" Type="http://schemas.openxmlformats.org/officeDocument/2006/relationships/image" Target="../media/image65.png"/><Relationship Id="rId47" Type="http://schemas.openxmlformats.org/officeDocument/2006/relationships/image" Target="../media/image31.png"/><Relationship Id="rId50" Type="http://schemas.openxmlformats.org/officeDocument/2006/relationships/image" Target="../media/image71.sv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52.svg"/><Relationship Id="rId11" Type="http://schemas.openxmlformats.org/officeDocument/2006/relationships/hyperlink" Target="#Produtos!A1"/><Relationship Id="rId24" Type="http://schemas.openxmlformats.org/officeDocument/2006/relationships/image" Target="../media/image14.png"/><Relationship Id="rId32" Type="http://schemas.openxmlformats.org/officeDocument/2006/relationships/image" Target="../media/image55.png"/><Relationship Id="rId37" Type="http://schemas.openxmlformats.org/officeDocument/2006/relationships/image" Target="../media/image60.png"/><Relationship Id="rId40" Type="http://schemas.openxmlformats.org/officeDocument/2006/relationships/image" Target="../media/image63.png"/><Relationship Id="rId45" Type="http://schemas.openxmlformats.org/officeDocument/2006/relationships/image" Target="../media/image6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hyperlink" Target="#Estoque!A1"/><Relationship Id="rId28" Type="http://schemas.openxmlformats.org/officeDocument/2006/relationships/image" Target="../media/image51.png"/><Relationship Id="rId36" Type="http://schemas.openxmlformats.org/officeDocument/2006/relationships/image" Target="../media/image59.png"/><Relationship Id="rId49" Type="http://schemas.openxmlformats.org/officeDocument/2006/relationships/image" Target="../media/image70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54.svg"/><Relationship Id="rId44" Type="http://schemas.openxmlformats.org/officeDocument/2006/relationships/image" Target="../media/image67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48.svg"/><Relationship Id="rId27" Type="http://schemas.openxmlformats.org/officeDocument/2006/relationships/image" Target="../media/image50.svg"/><Relationship Id="rId30" Type="http://schemas.openxmlformats.org/officeDocument/2006/relationships/image" Target="../media/image53.png"/><Relationship Id="rId35" Type="http://schemas.openxmlformats.org/officeDocument/2006/relationships/image" Target="../media/image58.svg"/><Relationship Id="rId43" Type="http://schemas.openxmlformats.org/officeDocument/2006/relationships/image" Target="../media/image66.png"/><Relationship Id="rId48" Type="http://schemas.openxmlformats.org/officeDocument/2006/relationships/image" Target="../media/image32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15.svg"/><Relationship Id="rId33" Type="http://schemas.openxmlformats.org/officeDocument/2006/relationships/image" Target="../media/image56.svg"/><Relationship Id="rId38" Type="http://schemas.openxmlformats.org/officeDocument/2006/relationships/image" Target="../media/image61.png"/><Relationship Id="rId46" Type="http://schemas.openxmlformats.org/officeDocument/2006/relationships/image" Target="../media/image69.svg"/><Relationship Id="rId20" Type="http://schemas.openxmlformats.org/officeDocument/2006/relationships/image" Target="../media/image13.svg"/><Relationship Id="rId41" Type="http://schemas.openxmlformats.org/officeDocument/2006/relationships/image" Target="../media/image64.png"/><Relationship Id="rId1" Type="http://schemas.openxmlformats.org/officeDocument/2006/relationships/image" Target="../media/image1.png"/><Relationship Id="rId6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49.png"/><Relationship Id="rId39" Type="http://schemas.openxmlformats.org/officeDocument/2006/relationships/image" Target="../media/image82.png"/><Relationship Id="rId21" Type="http://schemas.openxmlformats.org/officeDocument/2006/relationships/hyperlink" Target="#Estoque!A1"/><Relationship Id="rId34" Type="http://schemas.openxmlformats.org/officeDocument/2006/relationships/image" Target="../media/image78.png"/><Relationship Id="rId42" Type="http://schemas.openxmlformats.org/officeDocument/2006/relationships/image" Target="../media/image85.svg"/><Relationship Id="rId47" Type="http://schemas.openxmlformats.org/officeDocument/2006/relationships/image" Target="../media/image90.png"/><Relationship Id="rId50" Type="http://schemas.openxmlformats.org/officeDocument/2006/relationships/image" Target="../media/image93.sv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75.svg"/><Relationship Id="rId11" Type="http://schemas.openxmlformats.org/officeDocument/2006/relationships/hyperlink" Target="#Produtos!A1"/><Relationship Id="rId24" Type="http://schemas.openxmlformats.org/officeDocument/2006/relationships/image" Target="../media/image72.png"/><Relationship Id="rId32" Type="http://schemas.openxmlformats.org/officeDocument/2006/relationships/image" Target="../media/image76.png"/><Relationship Id="rId37" Type="http://schemas.openxmlformats.org/officeDocument/2006/relationships/image" Target="../media/image81.png"/><Relationship Id="rId40" Type="http://schemas.openxmlformats.org/officeDocument/2006/relationships/image" Target="../media/image83.svg"/><Relationship Id="rId45" Type="http://schemas.openxmlformats.org/officeDocument/2006/relationships/image" Target="../media/image8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74.png"/><Relationship Id="rId36" Type="http://schemas.openxmlformats.org/officeDocument/2006/relationships/image" Target="../media/image80.png"/><Relationship Id="rId49" Type="http://schemas.openxmlformats.org/officeDocument/2006/relationships/image" Target="../media/image92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32.svg"/><Relationship Id="rId44" Type="http://schemas.openxmlformats.org/officeDocument/2006/relationships/image" Target="../media/image87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50.svg"/><Relationship Id="rId30" Type="http://schemas.openxmlformats.org/officeDocument/2006/relationships/image" Target="../media/image31.png"/><Relationship Id="rId35" Type="http://schemas.openxmlformats.org/officeDocument/2006/relationships/image" Target="../media/image79.svg"/><Relationship Id="rId43" Type="http://schemas.openxmlformats.org/officeDocument/2006/relationships/image" Target="../media/image86.png"/><Relationship Id="rId48" Type="http://schemas.openxmlformats.org/officeDocument/2006/relationships/image" Target="../media/image91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73.svg"/><Relationship Id="rId33" Type="http://schemas.openxmlformats.org/officeDocument/2006/relationships/image" Target="../media/image77.svg"/><Relationship Id="rId38" Type="http://schemas.openxmlformats.org/officeDocument/2006/relationships/image" Target="../media/image28.svg"/><Relationship Id="rId46" Type="http://schemas.openxmlformats.org/officeDocument/2006/relationships/image" Target="../media/image89.svg"/><Relationship Id="rId20" Type="http://schemas.openxmlformats.org/officeDocument/2006/relationships/image" Target="../media/image13.svg"/><Relationship Id="rId41" Type="http://schemas.openxmlformats.org/officeDocument/2006/relationships/image" Target="../media/image84.png"/><Relationship Id="rId1" Type="http://schemas.openxmlformats.org/officeDocument/2006/relationships/image" Target="../media/image1.png"/><Relationship Id="rId6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96.png"/><Relationship Id="rId3" Type="http://schemas.openxmlformats.org/officeDocument/2006/relationships/image" Target="../media/image2.png"/><Relationship Id="rId21" Type="http://schemas.openxmlformats.org/officeDocument/2006/relationships/hyperlink" Target="#Estoque!A1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95.svg"/><Relationship Id="rId33" Type="http://schemas.openxmlformats.org/officeDocument/2006/relationships/image" Target="../media/image99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0" Type="http://schemas.openxmlformats.org/officeDocument/2006/relationships/image" Target="../media/image13.svg"/><Relationship Id="rId29" Type="http://schemas.openxmlformats.org/officeDocument/2006/relationships/image" Target="../media/image50.sv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94.png"/><Relationship Id="rId32" Type="http://schemas.openxmlformats.org/officeDocument/2006/relationships/image" Target="../media/image9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49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32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97.svg"/><Relationship Id="rId30" Type="http://schemas.openxmlformats.org/officeDocument/2006/relationships/image" Target="../media/image31.png"/><Relationship Id="rId8" Type="http://schemas.openxmlformats.org/officeDocument/2006/relationships/hyperlink" Target="#Clientes!A1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102.png"/><Relationship Id="rId39" Type="http://schemas.openxmlformats.org/officeDocument/2006/relationships/image" Target="../media/image112.svg"/><Relationship Id="rId21" Type="http://schemas.openxmlformats.org/officeDocument/2006/relationships/hyperlink" Target="#Estoque!A1"/><Relationship Id="rId34" Type="http://schemas.openxmlformats.org/officeDocument/2006/relationships/image" Target="../media/image108.png"/><Relationship Id="rId42" Type="http://schemas.openxmlformats.org/officeDocument/2006/relationships/image" Target="../media/image113.pn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105.sv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100.png"/><Relationship Id="rId32" Type="http://schemas.openxmlformats.org/officeDocument/2006/relationships/image" Target="../media/image31.png"/><Relationship Id="rId37" Type="http://schemas.openxmlformats.org/officeDocument/2006/relationships/image" Target="../media/image110.svg"/><Relationship Id="rId40" Type="http://schemas.openxmlformats.org/officeDocument/2006/relationships/image" Target="../media/image55.png"/><Relationship Id="rId45" Type="http://schemas.openxmlformats.org/officeDocument/2006/relationships/image" Target="../media/image116.sv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104.png"/><Relationship Id="rId36" Type="http://schemas.openxmlformats.org/officeDocument/2006/relationships/image" Target="../media/image109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107.svg"/><Relationship Id="rId44" Type="http://schemas.openxmlformats.org/officeDocument/2006/relationships/image" Target="../media/image115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103.svg"/><Relationship Id="rId30" Type="http://schemas.openxmlformats.org/officeDocument/2006/relationships/image" Target="../media/image106.png"/><Relationship Id="rId35" Type="http://schemas.openxmlformats.org/officeDocument/2006/relationships/image" Target="../media/image44.svg"/><Relationship Id="rId43" Type="http://schemas.openxmlformats.org/officeDocument/2006/relationships/image" Target="../media/image114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101.svg"/><Relationship Id="rId33" Type="http://schemas.openxmlformats.org/officeDocument/2006/relationships/image" Target="../media/image32.svg"/><Relationship Id="rId38" Type="http://schemas.openxmlformats.org/officeDocument/2006/relationships/image" Target="../media/image111.png"/><Relationship Id="rId20" Type="http://schemas.openxmlformats.org/officeDocument/2006/relationships/image" Target="../media/image13.svg"/><Relationship Id="rId41" Type="http://schemas.openxmlformats.org/officeDocument/2006/relationships/image" Target="../media/image56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26" Type="http://schemas.openxmlformats.org/officeDocument/2006/relationships/image" Target="../media/image120.sv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34" Type="http://schemas.openxmlformats.org/officeDocument/2006/relationships/image" Target="../media/image127.sv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5" Type="http://schemas.openxmlformats.org/officeDocument/2006/relationships/image" Target="../media/image119.png"/><Relationship Id="rId33" Type="http://schemas.openxmlformats.org/officeDocument/2006/relationships/image" Target="../media/image126.png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29" Type="http://schemas.openxmlformats.org/officeDocument/2006/relationships/image" Target="../media/image123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118.svg"/><Relationship Id="rId32" Type="http://schemas.openxmlformats.org/officeDocument/2006/relationships/image" Target="../media/image38.svg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23" Type="http://schemas.openxmlformats.org/officeDocument/2006/relationships/image" Target="../media/image117.png"/><Relationship Id="rId28" Type="http://schemas.openxmlformats.org/officeDocument/2006/relationships/image" Target="../media/image122.sv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31" Type="http://schemas.openxmlformats.org/officeDocument/2006/relationships/image" Target="../media/image125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Relationship Id="rId27" Type="http://schemas.openxmlformats.org/officeDocument/2006/relationships/image" Target="../media/image121.png"/><Relationship Id="rId30" Type="http://schemas.openxmlformats.org/officeDocument/2006/relationships/image" Target="../media/image124.svg"/><Relationship Id="rId8" Type="http://schemas.openxmlformats.org/officeDocument/2006/relationships/hyperlink" Target="#Cliente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26</xdr:col>
      <xdr:colOff>19050</xdr:colOff>
      <xdr:row>96</xdr:row>
      <xdr:rowOff>38100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8A79C07-C5B2-49D5-9A98-A0DB95D3D97B}"/>
            </a:ext>
          </a:extLst>
        </xdr:cNvPr>
        <xdr:cNvGrpSpPr/>
      </xdr:nvGrpSpPr>
      <xdr:grpSpPr>
        <a:xfrm>
          <a:off x="9525" y="0"/>
          <a:ext cx="17011650" cy="19469100"/>
          <a:chOff x="9525" y="0"/>
          <a:chExt cx="17011098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66EC69B4-2DD4-410C-9AC1-C69BAEB33BD0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9384C298-BAFB-48C7-9364-6B03393A829A}"/>
              </a:ext>
            </a:extLst>
          </xdr:cNvPr>
          <xdr:cNvSpPr/>
        </xdr:nvSpPr>
        <xdr:spPr>
          <a:xfrm>
            <a:off x="1758354" y="9524"/>
            <a:ext cx="1526226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PÁGINA INICIAL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C201D6A7-8DA6-4F35-AD6E-09ECC6623990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73E9B453-AD79-4A6C-8D38-CF104BC16811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CEE75767-C236-4453-A82E-B8702AC978B8}"/>
              </a:ext>
            </a:extLst>
          </xdr:cNvPr>
          <xdr:cNvSpPr/>
        </xdr:nvSpPr>
        <xdr:spPr>
          <a:xfrm>
            <a:off x="9525" y="704850"/>
            <a:ext cx="17007446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84DA4CD7-FD4E-450C-82A1-BA43735AB1A0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5940D7AC-0EFB-432C-BAF0-DEC5C45903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52795E-19E9-470B-B3BC-11E22F4B785A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7AA458A-822D-40EC-9536-520DDA7CFBBE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3B0034A-CE7B-4B5F-84D9-AAEE2B22D7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AE235D0-F447-42BE-A11B-1E3A77AE068B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13</xdr:row>
      <xdr:rowOff>9120</xdr:rowOff>
    </xdr:from>
    <xdr:to>
      <xdr:col>1</xdr:col>
      <xdr:colOff>0</xdr:colOff>
      <xdr:row>16</xdr:row>
      <xdr:rowOff>95250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ACA8E48-0C31-429E-A5EE-3D72869BE4A5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1FDB3C9-C36C-4BDD-86BE-EB0D9A1550C1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5B8AB94-0DF3-48DD-94F7-E55229FBC233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220A1EB-525F-4834-911D-0A4DD1B27D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44665</xdr:rowOff>
    </xdr:from>
    <xdr:to>
      <xdr:col>1</xdr:col>
      <xdr:colOff>0</xdr:colOff>
      <xdr:row>10</xdr:row>
      <xdr:rowOff>44664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594C4F-46ED-41C2-9B6E-742B550F288D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4E285D1-557D-46F6-8DBA-4AF6BB09AA4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AFAC467-A787-429E-BFF8-B7BEF826BC3C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4D95D53-286F-45D1-A55A-C6F9A0BADE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42514</xdr:rowOff>
    </xdr:from>
    <xdr:to>
      <xdr:col>1</xdr:col>
      <xdr:colOff>0</xdr:colOff>
      <xdr:row>7</xdr:row>
      <xdr:rowOff>50795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4375A00-0D2D-4539-870D-E8215597A7B5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B81DC89-9B5C-4736-A2C3-C57CCAF4E13B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A504E8D-7C97-4E64-A1AC-A16DD6A758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DDDF830B-1900-4A41-8802-36CA9CFFA6FD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38100</xdr:rowOff>
    </xdr:from>
    <xdr:to>
      <xdr:col>1</xdr:col>
      <xdr:colOff>0</xdr:colOff>
      <xdr:row>13</xdr:row>
      <xdr:rowOff>52284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5755CC7-4CCE-495A-A2A4-E07D70D86295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272A025E-98BE-461C-9280-454ABA975591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EB8BDA0F-1A2A-478D-A673-1A096D496389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839C9AA-26CC-4B1E-A87C-DE973F2DFF90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DE1897ED-8EF0-442F-AF22-A34EA860BF18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2083B658-7A97-4F57-8620-A8754588398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38102</xdr:rowOff>
    </xdr:to>
    <xdr:grpSp>
      <xdr:nvGrpSpPr>
        <xdr:cNvPr id="47" name="Agrupar 4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9A6449E-3526-42A2-AC1A-9A6B2F766696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F933D60-E93B-487D-9738-52F9DBEDE6B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3A2ACD27-1C68-4799-85ED-63136FB33414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2A9BB68-2B16-48E1-8856-845A594C1A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190095</xdr:rowOff>
    </xdr:from>
    <xdr:to>
      <xdr:col>1</xdr:col>
      <xdr:colOff>9525</xdr:colOff>
      <xdr:row>19</xdr:row>
      <xdr:rowOff>85725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8A47D5F4-53D0-4B7B-BE42-DA1950839F2C}"/>
            </a:ext>
          </a:extLst>
        </xdr:cNvPr>
        <xdr:cNvGrpSpPr/>
      </xdr:nvGrpSpPr>
      <xdr:grpSpPr>
        <a:xfrm>
          <a:off x="9524" y="4190595"/>
          <a:ext cx="1762126" cy="657630"/>
          <a:chOff x="9524" y="4190595"/>
          <a:chExt cx="1762126" cy="657630"/>
        </a:xfrm>
      </xdr:grpSpPr>
      <xdr:sp macro="" textlink="">
        <xdr:nvSpPr>
          <xdr:cNvPr id="52" name="Retângulo 5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BD73A75E-82AB-4DEE-8690-1F4B2AA1DF61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3" name="Gráfico 52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82E434B-7DF9-497F-B86C-FD8A218981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13B9735-343B-45E0-A0DD-AE18D4A860B0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7</xdr:col>
      <xdr:colOff>133350</xdr:colOff>
      <xdr:row>6</xdr:row>
      <xdr:rowOff>28575</xdr:rowOff>
    </xdr:from>
    <xdr:to>
      <xdr:col>19</xdr:col>
      <xdr:colOff>590550</xdr:colOff>
      <xdr:row>15</xdr:row>
      <xdr:rowOff>127634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71ED633-3860-40ED-855E-7DE174803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3075" y="2314575"/>
          <a:ext cx="7772400" cy="18135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0</xdr:rowOff>
    </xdr:from>
    <xdr:to>
      <xdr:col>2</xdr:col>
      <xdr:colOff>728400</xdr:colOff>
      <xdr:row>2</xdr:row>
      <xdr:rowOff>23550</xdr:rowOff>
    </xdr:to>
    <xdr:pic>
      <xdr:nvPicPr>
        <xdr:cNvPr id="2" name="Gráfico 1" descr="Américas no globo terrestre">
          <a:extLst>
            <a:ext uri="{FF2B5EF4-FFF2-40B4-BE49-F238E27FC236}">
              <a16:creationId xmlns:a16="http://schemas.microsoft.com/office/drawing/2014/main" id="{78894692-A870-46D1-8952-ABDC07DFB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28900" y="762000"/>
          <a:ext cx="576000" cy="595050"/>
        </a:xfrm>
        <a:prstGeom prst="rect">
          <a:avLst/>
        </a:prstGeom>
      </xdr:spPr>
    </xdr:pic>
    <xdr:clientData/>
  </xdr:twoCellAnchor>
  <xdr:twoCellAnchor editAs="oneCell">
    <xdr:from>
      <xdr:col>7</xdr:col>
      <xdr:colOff>733424</xdr:colOff>
      <xdr:row>1</xdr:row>
      <xdr:rowOff>0</xdr:rowOff>
    </xdr:from>
    <xdr:to>
      <xdr:col>7</xdr:col>
      <xdr:colOff>1309424</xdr:colOff>
      <xdr:row>2</xdr:row>
      <xdr:rowOff>4500</xdr:rowOff>
    </xdr:to>
    <xdr:pic>
      <xdr:nvPicPr>
        <xdr:cNvPr id="3" name="Gráfico 2" descr="Lista de verificação DPE">
          <a:extLst>
            <a:ext uri="{FF2B5EF4-FFF2-40B4-BE49-F238E27FC236}">
              <a16:creationId xmlns:a16="http://schemas.microsoft.com/office/drawing/2014/main" id="{B24B4780-EAEF-431E-BA2C-20684271E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858499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1</xdr:row>
      <xdr:rowOff>0</xdr:rowOff>
    </xdr:from>
    <xdr:to>
      <xdr:col>3</xdr:col>
      <xdr:colOff>652199</xdr:colOff>
      <xdr:row>2</xdr:row>
      <xdr:rowOff>14025</xdr:rowOff>
    </xdr:to>
    <xdr:pic>
      <xdr:nvPicPr>
        <xdr:cNvPr id="4" name="Gráfico 3" descr="Coração com pulsação">
          <a:extLst>
            <a:ext uri="{FF2B5EF4-FFF2-40B4-BE49-F238E27FC236}">
              <a16:creationId xmlns:a16="http://schemas.microsoft.com/office/drawing/2014/main" id="{AFCC6CDF-1418-42F3-8CB4-3BFD9CB82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38524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</xdr:col>
      <xdr:colOff>73800</xdr:colOff>
      <xdr:row>1</xdr:row>
      <xdr:rowOff>0</xdr:rowOff>
    </xdr:from>
    <xdr:to>
      <xdr:col>1</xdr:col>
      <xdr:colOff>649800</xdr:colOff>
      <xdr:row>2</xdr:row>
      <xdr:rowOff>14025</xdr:rowOff>
    </xdr:to>
    <xdr:pic>
      <xdr:nvPicPr>
        <xdr:cNvPr id="5" name="Gráfico 4" descr="Usuário">
          <a:extLst>
            <a:ext uri="{FF2B5EF4-FFF2-40B4-BE49-F238E27FC236}">
              <a16:creationId xmlns:a16="http://schemas.microsoft.com/office/drawing/2014/main" id="{92B7DD15-03DB-418C-B062-F16B101D9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35925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15</xdr:col>
      <xdr:colOff>257175</xdr:colOff>
      <xdr:row>1</xdr:row>
      <xdr:rowOff>0</xdr:rowOff>
    </xdr:from>
    <xdr:to>
      <xdr:col>15</xdr:col>
      <xdr:colOff>833175</xdr:colOff>
      <xdr:row>2</xdr:row>
      <xdr:rowOff>14025</xdr:rowOff>
    </xdr:to>
    <xdr:pic>
      <xdr:nvPicPr>
        <xdr:cNvPr id="6" name="Gráfico 5" descr="Smartphone">
          <a:extLst>
            <a:ext uri="{FF2B5EF4-FFF2-40B4-BE49-F238E27FC236}">
              <a16:creationId xmlns:a16="http://schemas.microsoft.com/office/drawing/2014/main" id="{F91FACE2-E080-4723-ADE7-947B9D8DA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459700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0</xdr:rowOff>
    </xdr:from>
    <xdr:to>
      <xdr:col>6</xdr:col>
      <xdr:colOff>861750</xdr:colOff>
      <xdr:row>2</xdr:row>
      <xdr:rowOff>4500</xdr:rowOff>
    </xdr:to>
    <xdr:pic>
      <xdr:nvPicPr>
        <xdr:cNvPr id="7" name="Gráfico 6" descr="Funcionário de escritório">
          <a:extLst>
            <a:ext uri="{FF2B5EF4-FFF2-40B4-BE49-F238E27FC236}">
              <a16:creationId xmlns:a16="http://schemas.microsoft.com/office/drawing/2014/main" id="{5357EFE3-13B8-4846-8954-A65C75259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2583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142875</xdr:colOff>
      <xdr:row>1</xdr:row>
      <xdr:rowOff>0</xdr:rowOff>
    </xdr:from>
    <xdr:to>
      <xdr:col>16</xdr:col>
      <xdr:colOff>718875</xdr:colOff>
      <xdr:row>2</xdr:row>
      <xdr:rowOff>14025</xdr:rowOff>
    </xdr:to>
    <xdr:pic>
      <xdr:nvPicPr>
        <xdr:cNvPr id="8" name="Gráfico 7" descr="Virar calendário">
          <a:extLst>
            <a:ext uri="{FF2B5EF4-FFF2-40B4-BE49-F238E27FC236}">
              <a16:creationId xmlns:a16="http://schemas.microsoft.com/office/drawing/2014/main" id="{F770514D-AA6E-4992-B72C-6D3E57A6F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1412200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1123950</xdr:colOff>
      <xdr:row>1</xdr:row>
      <xdr:rowOff>0</xdr:rowOff>
    </xdr:from>
    <xdr:to>
      <xdr:col>14</xdr:col>
      <xdr:colOff>1699950</xdr:colOff>
      <xdr:row>2</xdr:row>
      <xdr:rowOff>14025</xdr:rowOff>
    </xdr:to>
    <xdr:pic>
      <xdr:nvPicPr>
        <xdr:cNvPr id="9" name="Gráfico 8" descr="Edifício">
          <a:extLst>
            <a:ext uri="{FF2B5EF4-FFF2-40B4-BE49-F238E27FC236}">
              <a16:creationId xmlns:a16="http://schemas.microsoft.com/office/drawing/2014/main" id="{AE522AEC-8B1F-4BE2-84D3-33DB906BB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8488025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11</xdr:col>
      <xdr:colOff>200025</xdr:colOff>
      <xdr:row>1</xdr:row>
      <xdr:rowOff>0</xdr:rowOff>
    </xdr:from>
    <xdr:to>
      <xdr:col>11</xdr:col>
      <xdr:colOff>776025</xdr:colOff>
      <xdr:row>2</xdr:row>
      <xdr:rowOff>4500</xdr:rowOff>
    </xdr:to>
    <xdr:pic>
      <xdr:nvPicPr>
        <xdr:cNvPr id="10" name="Gráfico 9" descr="Crachá de funcionário">
          <a:extLst>
            <a:ext uri="{FF2B5EF4-FFF2-40B4-BE49-F238E27FC236}">
              <a16:creationId xmlns:a16="http://schemas.microsoft.com/office/drawing/2014/main" id="{D44C74CC-5824-46CF-9CFF-A42B24BA0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868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171450</xdr:colOff>
      <xdr:row>1</xdr:row>
      <xdr:rowOff>0</xdr:rowOff>
    </xdr:from>
    <xdr:to>
      <xdr:col>13</xdr:col>
      <xdr:colOff>747450</xdr:colOff>
      <xdr:row>2</xdr:row>
      <xdr:rowOff>4500</xdr:rowOff>
    </xdr:to>
    <xdr:pic>
      <xdr:nvPicPr>
        <xdr:cNvPr id="11" name="Gráfico 10" descr="Família com duas crianças">
          <a:extLst>
            <a:ext uri="{FF2B5EF4-FFF2-40B4-BE49-F238E27FC236}">
              <a16:creationId xmlns:a16="http://schemas.microsoft.com/office/drawing/2014/main" id="{3E13CB0C-6CEC-40AE-8ADD-1B2471310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66211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161925</xdr:colOff>
      <xdr:row>1</xdr:row>
      <xdr:rowOff>0</xdr:rowOff>
    </xdr:from>
    <xdr:to>
      <xdr:col>8</xdr:col>
      <xdr:colOff>737925</xdr:colOff>
      <xdr:row>2</xdr:row>
      <xdr:rowOff>4500</xdr:rowOff>
    </xdr:to>
    <xdr:pic>
      <xdr:nvPicPr>
        <xdr:cNvPr id="12" name="Gráfico 11" descr="Dinheiro">
          <a:extLst>
            <a:ext uri="{FF2B5EF4-FFF2-40B4-BE49-F238E27FC236}">
              <a16:creationId xmlns:a16="http://schemas.microsoft.com/office/drawing/2014/main" id="{F2584B04-6990-4008-8608-FA49CD0E8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3634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142875</xdr:colOff>
      <xdr:row>1</xdr:row>
      <xdr:rowOff>0</xdr:rowOff>
    </xdr:from>
    <xdr:to>
      <xdr:col>9</xdr:col>
      <xdr:colOff>718875</xdr:colOff>
      <xdr:row>2</xdr:row>
      <xdr:rowOff>4500</xdr:rowOff>
    </xdr:to>
    <xdr:pic>
      <xdr:nvPicPr>
        <xdr:cNvPr id="13" name="Gráfico 12" descr="Bebê engatinhando">
          <a:extLst>
            <a:ext uri="{FF2B5EF4-FFF2-40B4-BE49-F238E27FC236}">
              <a16:creationId xmlns:a16="http://schemas.microsoft.com/office/drawing/2014/main" id="{8F435065-2466-4989-A01A-81BAA7270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32302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457200</xdr:colOff>
      <xdr:row>1</xdr:row>
      <xdr:rowOff>0</xdr:rowOff>
    </xdr:from>
    <xdr:to>
      <xdr:col>4</xdr:col>
      <xdr:colOff>1033200</xdr:colOff>
      <xdr:row>2</xdr:row>
      <xdr:rowOff>4500</xdr:rowOff>
    </xdr:to>
    <xdr:pic>
      <xdr:nvPicPr>
        <xdr:cNvPr id="14" name="Gráfico 13" descr="Reunião">
          <a:extLst>
            <a:ext uri="{FF2B5EF4-FFF2-40B4-BE49-F238E27FC236}">
              <a16:creationId xmlns:a16="http://schemas.microsoft.com/office/drawing/2014/main" id="{6AAD57B5-4FEC-4A03-A96C-CA86BE608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5434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1457325</xdr:colOff>
      <xdr:row>1</xdr:row>
      <xdr:rowOff>0</xdr:rowOff>
    </xdr:from>
    <xdr:to>
      <xdr:col>5</xdr:col>
      <xdr:colOff>2033325</xdr:colOff>
      <xdr:row>2</xdr:row>
      <xdr:rowOff>4500</xdr:rowOff>
    </xdr:to>
    <xdr:pic>
      <xdr:nvPicPr>
        <xdr:cNvPr id="15" name="Gráfico 14" descr="Cabeça com engrenagens">
          <a:extLst>
            <a:ext uri="{FF2B5EF4-FFF2-40B4-BE49-F238E27FC236}">
              <a16:creationId xmlns:a16="http://schemas.microsoft.com/office/drawing/2014/main" id="{6F88B5B6-81D3-4205-A779-062BA26B9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6972300" y="762000"/>
          <a:ext cx="576000" cy="57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9524</xdr:colOff>
      <xdr:row>0</xdr:row>
      <xdr:rowOff>0</xdr:rowOff>
    </xdr:from>
    <xdr:to>
      <xdr:col>17</xdr:col>
      <xdr:colOff>3594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5B0E1D6-E6B5-4E27-BEA6-4731D3BFBE8A}"/>
            </a:ext>
          </a:extLst>
        </xdr:cNvPr>
        <xdr:cNvGrpSpPr/>
      </xdr:nvGrpSpPr>
      <xdr:grpSpPr>
        <a:xfrm>
          <a:off x="9524" y="0"/>
          <a:ext cx="22101595" cy="19469100"/>
          <a:chOff x="9524" y="0"/>
          <a:chExt cx="2210087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F10495A-66B8-4B53-BB5B-5EDA6B9931DB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859DF01-98AF-4234-B812-C1F8A0BA1DDB}"/>
              </a:ext>
            </a:extLst>
          </xdr:cNvPr>
          <xdr:cNvSpPr/>
        </xdr:nvSpPr>
        <xdr:spPr>
          <a:xfrm>
            <a:off x="1758354" y="9524"/>
            <a:ext cx="20352046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FUNCIONÁRIOS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423EA0B9-D38B-439C-B9EE-709A7F0C4AB1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C55D28B-8F08-4D53-B2E9-2973EC721BFA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5E6B110-3EF9-47A6-9686-5DF81244F1B5}"/>
              </a:ext>
            </a:extLst>
          </xdr:cNvPr>
          <xdr:cNvSpPr/>
        </xdr:nvSpPr>
        <xdr:spPr>
          <a:xfrm>
            <a:off x="9524" y="704850"/>
            <a:ext cx="22099960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11BDAC5-73F3-468A-A358-5727861898DF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D4D24456-9187-4DAD-B5C0-716EA354EE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B6DFDDBF-E95D-4B10-8CE2-0229A537DB2E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E7AEEF19-781C-47CA-8AAE-5326A97DCC2C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48F8DBC1-BD15-428C-AFA2-BF6CDE0CD2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2B0A0365-B009-44A6-A138-FF11105F0544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BC9248DB-AB89-4DB1-8961-2015214A2474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16785C7A-60C0-4AC5-BEC4-8CFFB28C5AB9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3547C25B-9A95-42D1-BF97-D364584E2409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447A76F5-35A5-4010-B20A-818B22790A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5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6AC8C6B-BD4A-4F4E-8E0E-25783285A84F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307D666E-E4CE-4EC5-AA0C-BD16B27359F4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DD2D2AB6-7E34-4664-B981-B1129706B248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93A6A31E-8D2F-4174-A0A2-3C3FB53BA7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8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FEAFDD07-8528-43F9-A979-19BE6C6DC990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63D73306-C2EF-4D11-98EE-ADCC2BEFABD9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BE514B08-FC27-4B3B-A18F-60A7037EA9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1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16F2EB4E-23F8-4F27-9AE0-DD1BABF3E85B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144B4DB-F4F3-447C-8174-A056EE293B0A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23D37FE0-B341-44CC-B472-EBDEA5586ED4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C63ABEE9-935E-4AAE-8F47-F582A320D3C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3E6E5CB3-350D-4BC0-926F-9341B737D494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FCE82F50-6078-45BF-B870-A6D75922D7A4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49B85D6C-4FB3-4DC0-8281-E755F36529B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4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D0FCE54A-4756-458E-A41E-B41137B884DA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96D533FD-4BBF-4DD9-BCC4-C412E5A3881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4E38AB91-49EA-4838-89CC-99F77FC60B7B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F5CCF412-8A70-476E-B31A-6DEBAE4570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7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180570</xdr:rowOff>
    </xdr:from>
    <xdr:to>
      <xdr:col>1</xdr:col>
      <xdr:colOff>9525</xdr:colOff>
      <xdr:row>19</xdr:row>
      <xdr:rowOff>76200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499045CA-B749-4BA1-B09D-DAAC1257C1A0}"/>
            </a:ext>
          </a:extLst>
        </xdr:cNvPr>
        <xdr:cNvGrpSpPr/>
      </xdr:nvGrpSpPr>
      <xdr:grpSpPr>
        <a:xfrm>
          <a:off x="9524" y="4190595"/>
          <a:ext cx="1762126" cy="657630"/>
          <a:chOff x="9524" y="4190595"/>
          <a:chExt cx="1762126" cy="657630"/>
        </a:xfrm>
      </xdr:grpSpPr>
      <xdr:sp macro="" textlink="">
        <xdr:nvSpPr>
          <xdr:cNvPr id="53" name="Retângulo 52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9604B2EE-20E4-4562-8E7C-05421F3E941A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2" name="Gráfico 51" descr="Carrinho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CC9E7517-0723-4718-8F78-7943DA7D43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6A3F22B3-C7C4-446D-BC34-AFED83B3C347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>
    <xdr:from>
      <xdr:col>3</xdr:col>
      <xdr:colOff>390525</xdr:colOff>
      <xdr:row>8</xdr:row>
      <xdr:rowOff>47625</xdr:rowOff>
    </xdr:from>
    <xdr:to>
      <xdr:col>4</xdr:col>
      <xdr:colOff>590550</xdr:colOff>
      <xdr:row>11</xdr:row>
      <xdr:rowOff>161925</xdr:rowOff>
    </xdr:to>
    <xdr:sp macro="[0]!ExibirForm" textlink="">
      <xdr:nvSpPr>
        <xdr:cNvPr id="24" name="Retângulo 23">
          <a:extLst>
            <a:ext uri="{FF2B5EF4-FFF2-40B4-BE49-F238E27FC236}">
              <a16:creationId xmlns:a16="http://schemas.microsoft.com/office/drawing/2014/main" id="{ED75DA13-A5FC-42DD-927B-6FD6D796953E}"/>
            </a:ext>
          </a:extLst>
        </xdr:cNvPr>
        <xdr:cNvSpPr/>
      </xdr:nvSpPr>
      <xdr:spPr>
        <a:xfrm>
          <a:off x="3752850" y="2724150"/>
          <a:ext cx="923925" cy="685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9519</xdr:colOff>
      <xdr:row>0</xdr:row>
      <xdr:rowOff>0</xdr:rowOff>
    </xdr:from>
    <xdr:to>
      <xdr:col>25</xdr:col>
      <xdr:colOff>7327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B61F7EF-C39F-46DE-80C3-5205BF37C38F}"/>
            </a:ext>
          </a:extLst>
        </xdr:cNvPr>
        <xdr:cNvGrpSpPr/>
      </xdr:nvGrpSpPr>
      <xdr:grpSpPr>
        <a:xfrm>
          <a:off x="9519" y="0"/>
          <a:ext cx="44212858" cy="19469100"/>
          <a:chOff x="9519" y="0"/>
          <a:chExt cx="44207263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3E18966-E93A-412B-9BFB-39AB124B2EF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97A933F-1517-4F6E-935B-E0C8868B86EA}"/>
              </a:ext>
            </a:extLst>
          </xdr:cNvPr>
          <xdr:cNvSpPr>
            <a:spLocks/>
          </xdr:cNvSpPr>
        </xdr:nvSpPr>
        <xdr:spPr>
          <a:xfrm>
            <a:off x="1758353" y="9524"/>
            <a:ext cx="4245842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>
                <a:latin typeface="Bahnschrift" panose="020B0502040204020203" pitchFamily="34" charset="0"/>
              </a:rPr>
              <a:t>PRODUTOS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5B3890F2-0563-4492-B8B8-649ABE278D64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1AF17D9-D5F6-4772-8348-379D14F3F8AD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AC64B12-43FC-4725-B443-ADEB0D2B1307}"/>
              </a:ext>
            </a:extLst>
          </xdr:cNvPr>
          <xdr:cNvSpPr/>
        </xdr:nvSpPr>
        <xdr:spPr>
          <a:xfrm>
            <a:off x="9519" y="715525"/>
            <a:ext cx="44204186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490DE5ED-A813-4AA7-8A01-8CD69B612CC5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1DCB1BF-6FCB-4576-8CE7-E0BB5F2BA7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3663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FD44C4E-6B3C-4954-B132-253E1DB2A926}"/>
            </a:ext>
          </a:extLst>
        </xdr:cNvPr>
        <xdr:cNvGrpSpPr/>
      </xdr:nvGrpSpPr>
      <xdr:grpSpPr>
        <a:xfrm>
          <a:off x="1" y="762000"/>
          <a:ext cx="1765787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E8DA92-F2AB-4D30-92F8-319F182EC03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E21BB28-78FF-48E9-8543-4A34EDFAD1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3DC611B-7DBE-4A74-B0F6-6E44F4DE4075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3663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0742CA-2110-46F2-B114-B7697AC37977}"/>
            </a:ext>
          </a:extLst>
        </xdr:cNvPr>
        <xdr:cNvGrpSpPr/>
      </xdr:nvGrpSpPr>
      <xdr:grpSpPr>
        <a:xfrm>
          <a:off x="0" y="3628620"/>
          <a:ext cx="1765788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79F32A6-31F8-44B7-813F-814B948E7981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0B15351-F7E7-4705-B678-AF9A25E716AE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E519C4C-0EA9-4BAD-A3C4-8C96FB1E3E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3663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823F0F5-C2B8-435B-9B27-52481CBE1407}"/>
            </a:ext>
          </a:extLst>
        </xdr:cNvPr>
        <xdr:cNvGrpSpPr/>
      </xdr:nvGrpSpPr>
      <xdr:grpSpPr>
        <a:xfrm>
          <a:off x="0" y="2521165"/>
          <a:ext cx="1765788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2EA4A66-3C4E-4C05-9729-EECAABC1D4B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A8F04C7-2833-4E18-879B-E91002A82532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66B2970-EFD6-4BA9-B159-8CA84A388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3663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1260D71-C5E7-40E0-BA72-1A6A42F0FB6D}"/>
            </a:ext>
          </a:extLst>
        </xdr:cNvPr>
        <xdr:cNvGrpSpPr/>
      </xdr:nvGrpSpPr>
      <xdr:grpSpPr>
        <a:xfrm>
          <a:off x="1" y="1947514"/>
          <a:ext cx="1765787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B5ADD38-71CE-47F3-A378-112B94D03A22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40D38C7-6EB3-456D-A193-EF58991D0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FCFE218-ABB6-4B1D-996C-7FD8BB55EBCF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3663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0906E27-81F6-4D93-A500-20FA175375FF}"/>
            </a:ext>
          </a:extLst>
        </xdr:cNvPr>
        <xdr:cNvGrpSpPr/>
      </xdr:nvGrpSpPr>
      <xdr:grpSpPr>
        <a:xfrm>
          <a:off x="0" y="3086100"/>
          <a:ext cx="1765788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C8CE74BD-D000-49C9-9D31-B943B436E94E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EAB351D7-9506-4091-BA00-53F629CF66EE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FF39F12-BE13-4586-B7ED-6019DA13E741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659E306D-7C60-429D-B935-674D1419357F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7159CAD5-A8BD-4271-8F7C-C6D54BFD34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3663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31E1844-AA4C-4A58-9B7F-626386064E7C}"/>
            </a:ext>
          </a:extLst>
        </xdr:cNvPr>
        <xdr:cNvGrpSpPr/>
      </xdr:nvGrpSpPr>
      <xdr:grpSpPr>
        <a:xfrm>
          <a:off x="1" y="1370362"/>
          <a:ext cx="1765787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79EF83C-BC07-4D95-B7D2-0C6EA569C20C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C2C02F8E-FBF6-43D3-8D27-E4450DFFD910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16B040E0-56F8-4AC9-A027-881C5332C2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809629</xdr:colOff>
      <xdr:row>1</xdr:row>
      <xdr:rowOff>19050</xdr:rowOff>
    </xdr:from>
    <xdr:to>
      <xdr:col>2</xdr:col>
      <xdr:colOff>1379629</xdr:colOff>
      <xdr:row>2</xdr:row>
      <xdr:rowOff>23550</xdr:rowOff>
    </xdr:to>
    <xdr:pic>
      <xdr:nvPicPr>
        <xdr:cNvPr id="9" name="Gráfico 8" descr="Processador">
          <a:extLst>
            <a:ext uri="{FF2B5EF4-FFF2-40B4-BE49-F238E27FC236}">
              <a16:creationId xmlns:a16="http://schemas.microsoft.com/office/drawing/2014/main" id="{959C677E-D363-42FA-AAC4-0A679260D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3324229" y="781050"/>
          <a:ext cx="570000" cy="576000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DBC9E77E-3268-4D63-A879-ABFBD19C097F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60" name="Retângulo 59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1E45279B-9ED2-4AFE-ABC6-9410AF5D601E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1" name="Gráfico 60" descr="Carrinho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51D0826-C396-42C1-AE54-E71361D422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62" name="CaixaDeTexto 61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98A058C7-4EF0-4668-83C2-A1619B318C05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57150</xdr:colOff>
      <xdr:row>0</xdr:row>
      <xdr:rowOff>742950</xdr:rowOff>
    </xdr:from>
    <xdr:to>
      <xdr:col>1</xdr:col>
      <xdr:colOff>633150</xdr:colOff>
      <xdr:row>1</xdr:row>
      <xdr:rowOff>556950</xdr:rowOff>
    </xdr:to>
    <xdr:pic>
      <xdr:nvPicPr>
        <xdr:cNvPr id="3" name="Gráfico 2" descr="Código de Barras">
          <a:extLst>
            <a:ext uri="{FF2B5EF4-FFF2-40B4-BE49-F238E27FC236}">
              <a16:creationId xmlns:a16="http://schemas.microsoft.com/office/drawing/2014/main" id="{32B6F9B7-EEF7-4243-82BB-0F8BC4213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819275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819150</xdr:colOff>
      <xdr:row>1</xdr:row>
      <xdr:rowOff>0</xdr:rowOff>
    </xdr:from>
    <xdr:to>
      <xdr:col>4</xdr:col>
      <xdr:colOff>1395150</xdr:colOff>
      <xdr:row>2</xdr:row>
      <xdr:rowOff>4500</xdr:rowOff>
    </xdr:to>
    <xdr:pic>
      <xdr:nvPicPr>
        <xdr:cNvPr id="7" name="Gráfico 6" descr="Bateria cheia">
          <a:extLst>
            <a:ext uri="{FF2B5EF4-FFF2-40B4-BE49-F238E27FC236}">
              <a16:creationId xmlns:a16="http://schemas.microsoft.com/office/drawing/2014/main" id="{A3A7093D-6131-4EF5-BBF0-81FAB8CAE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77152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828675</xdr:colOff>
      <xdr:row>0</xdr:row>
      <xdr:rowOff>752475</xdr:rowOff>
    </xdr:from>
    <xdr:to>
      <xdr:col>9</xdr:col>
      <xdr:colOff>1404675</xdr:colOff>
      <xdr:row>1</xdr:row>
      <xdr:rowOff>566475</xdr:rowOff>
    </xdr:to>
    <xdr:pic>
      <xdr:nvPicPr>
        <xdr:cNvPr id="12" name="Gráfico 11" descr="Monitor">
          <a:extLst>
            <a:ext uri="{FF2B5EF4-FFF2-40B4-BE49-F238E27FC236}">
              <a16:creationId xmlns:a16="http://schemas.microsoft.com/office/drawing/2014/main" id="{8209F996-AC75-4AA8-B684-6A5EE2119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8678525" y="75247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152400</xdr:colOff>
      <xdr:row>0</xdr:row>
      <xdr:rowOff>752475</xdr:rowOff>
    </xdr:from>
    <xdr:to>
      <xdr:col>21</xdr:col>
      <xdr:colOff>728400</xdr:colOff>
      <xdr:row>1</xdr:row>
      <xdr:rowOff>566475</xdr:rowOff>
    </xdr:to>
    <xdr:pic>
      <xdr:nvPicPr>
        <xdr:cNvPr id="53" name="Gráfico 52" descr="Calendário diário">
          <a:extLst>
            <a:ext uri="{FF2B5EF4-FFF2-40B4-BE49-F238E27FC236}">
              <a16:creationId xmlns:a16="http://schemas.microsoft.com/office/drawing/2014/main" id="{4E79DD25-32F4-485E-B21D-634C8A7D2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661850" y="75247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190500</xdr:colOff>
      <xdr:row>1</xdr:row>
      <xdr:rowOff>0</xdr:rowOff>
    </xdr:from>
    <xdr:to>
      <xdr:col>22</xdr:col>
      <xdr:colOff>766500</xdr:colOff>
      <xdr:row>2</xdr:row>
      <xdr:rowOff>4500</xdr:rowOff>
    </xdr:to>
    <xdr:pic>
      <xdr:nvPicPr>
        <xdr:cNvPr id="58" name="Gráfico 57" descr="Ampulheta">
          <a:extLst>
            <a:ext uri="{FF2B5EF4-FFF2-40B4-BE49-F238E27FC236}">
              <a16:creationId xmlns:a16="http://schemas.microsoft.com/office/drawing/2014/main" id="{77B90F0F-4BB9-4AFD-BBC8-4DE561C0A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6143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838200</xdr:colOff>
      <xdr:row>0</xdr:row>
      <xdr:rowOff>742950</xdr:rowOff>
    </xdr:from>
    <xdr:to>
      <xdr:col>5</xdr:col>
      <xdr:colOff>1414200</xdr:colOff>
      <xdr:row>1</xdr:row>
      <xdr:rowOff>556950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ADC0644E-C0B9-4444-A531-259B7FA4D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5050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781050</xdr:colOff>
      <xdr:row>1</xdr:row>
      <xdr:rowOff>0</xdr:rowOff>
    </xdr:from>
    <xdr:to>
      <xdr:col>3</xdr:col>
      <xdr:colOff>1357050</xdr:colOff>
      <xdr:row>2</xdr:row>
      <xdr:rowOff>4500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48953EE-9DE2-4284-A90B-7D8305CE1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857250</xdr:colOff>
      <xdr:row>1</xdr:row>
      <xdr:rowOff>9525</xdr:rowOff>
    </xdr:from>
    <xdr:to>
      <xdr:col>6</xdr:col>
      <xdr:colOff>1433250</xdr:colOff>
      <xdr:row>2</xdr:row>
      <xdr:rowOff>14025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D5A53B99-8A4D-42E2-AAD8-5C6327902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485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819150</xdr:colOff>
      <xdr:row>1</xdr:row>
      <xdr:rowOff>0</xdr:rowOff>
    </xdr:from>
    <xdr:to>
      <xdr:col>7</xdr:col>
      <xdr:colOff>1395150</xdr:colOff>
      <xdr:row>2</xdr:row>
      <xdr:rowOff>4500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AB4FD722-909A-430F-ACBF-7338F332E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781050</xdr:colOff>
      <xdr:row>1</xdr:row>
      <xdr:rowOff>0</xdr:rowOff>
    </xdr:from>
    <xdr:to>
      <xdr:col>8</xdr:col>
      <xdr:colOff>1357050</xdr:colOff>
      <xdr:row>2</xdr:row>
      <xdr:rowOff>4500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8A0939C7-92E1-47E0-B772-A76A47371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401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809625</xdr:colOff>
      <xdr:row>1</xdr:row>
      <xdr:rowOff>19050</xdr:rowOff>
    </xdr:from>
    <xdr:to>
      <xdr:col>10</xdr:col>
      <xdr:colOff>1313625</xdr:colOff>
      <xdr:row>1</xdr:row>
      <xdr:rowOff>523050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39F0B357-88D6-4107-9CEA-8C0A7321C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0225" y="781050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838200</xdr:colOff>
      <xdr:row>1</xdr:row>
      <xdr:rowOff>47625</xdr:rowOff>
    </xdr:from>
    <xdr:to>
      <xdr:col>11</xdr:col>
      <xdr:colOff>1342200</xdr:colOff>
      <xdr:row>1</xdr:row>
      <xdr:rowOff>551625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7974FD5C-61EE-407F-A43D-669A85779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4187">
          <a:off x="23069550" y="809625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885825</xdr:colOff>
      <xdr:row>1</xdr:row>
      <xdr:rowOff>57150</xdr:rowOff>
    </xdr:from>
    <xdr:to>
      <xdr:col>12</xdr:col>
      <xdr:colOff>1353825</xdr:colOff>
      <xdr:row>1</xdr:row>
      <xdr:rowOff>525150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100AE563-4213-464A-9A4E-3DD9C33FE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07925" y="81915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895350</xdr:colOff>
      <xdr:row>1</xdr:row>
      <xdr:rowOff>38100</xdr:rowOff>
    </xdr:from>
    <xdr:to>
      <xdr:col>13</xdr:col>
      <xdr:colOff>1399350</xdr:colOff>
      <xdr:row>1</xdr:row>
      <xdr:rowOff>542100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C5C276F-A48C-4AB1-8CAB-038431C19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08200" y="800100"/>
          <a:ext cx="504000" cy="504000"/>
        </a:xfrm>
        <a:prstGeom prst="rect">
          <a:avLst/>
        </a:prstGeom>
      </xdr:spPr>
    </xdr:pic>
    <xdr:clientData/>
  </xdr:twoCellAnchor>
  <xdr:oneCellAnchor>
    <xdr:from>
      <xdr:col>23</xdr:col>
      <xdr:colOff>428625</xdr:colOff>
      <xdr:row>1</xdr:row>
      <xdr:rowOff>0</xdr:rowOff>
    </xdr:from>
    <xdr:ext cx="576000" cy="576000"/>
    <xdr:pic>
      <xdr:nvPicPr>
        <xdr:cNvPr id="55" name="Gráfico 54" descr="Marcador">
          <a:extLst>
            <a:ext uri="{FF2B5EF4-FFF2-40B4-BE49-F238E27FC236}">
              <a16:creationId xmlns:a16="http://schemas.microsoft.com/office/drawing/2014/main" id="{98B19F84-5A34-4D3E-A8F9-BAEB4279F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31089600" y="762000"/>
          <a:ext cx="576000" cy="576000"/>
        </a:xfrm>
        <a:prstGeom prst="rect">
          <a:avLst/>
        </a:prstGeom>
      </xdr:spPr>
    </xdr:pic>
    <xdr:clientData/>
  </xdr:oneCellAnchor>
  <xdr:twoCellAnchor editAs="oneCell">
    <xdr:from>
      <xdr:col>24</xdr:col>
      <xdr:colOff>1390650</xdr:colOff>
      <xdr:row>1</xdr:row>
      <xdr:rowOff>0</xdr:rowOff>
    </xdr:from>
    <xdr:to>
      <xdr:col>24</xdr:col>
      <xdr:colOff>1966650</xdr:colOff>
      <xdr:row>2</xdr:row>
      <xdr:rowOff>4500</xdr:rowOff>
    </xdr:to>
    <xdr:pic>
      <xdr:nvPicPr>
        <xdr:cNvPr id="57" name="Gráfico 56" descr="Edifício">
          <a:extLst>
            <a:ext uri="{FF2B5EF4-FFF2-40B4-BE49-F238E27FC236}">
              <a16:creationId xmlns:a16="http://schemas.microsoft.com/office/drawing/2014/main" id="{B9EDF24E-C495-47BD-A0C0-E21E05002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42300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400050</xdr:colOff>
      <xdr:row>1</xdr:row>
      <xdr:rowOff>0</xdr:rowOff>
    </xdr:from>
    <xdr:to>
      <xdr:col>25</xdr:col>
      <xdr:colOff>976050</xdr:colOff>
      <xdr:row>2</xdr:row>
      <xdr:rowOff>4500</xdr:rowOff>
    </xdr:to>
    <xdr:pic>
      <xdr:nvPicPr>
        <xdr:cNvPr id="10" name="Gráfico 9" descr="Internet">
          <a:extLst>
            <a:ext uri="{FF2B5EF4-FFF2-40B4-BE49-F238E27FC236}">
              <a16:creationId xmlns:a16="http://schemas.microsoft.com/office/drawing/2014/main" id="{84B0CA15-26EE-4F1D-B3CF-DB58A02B5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446151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9523</xdr:colOff>
      <xdr:row>0</xdr:row>
      <xdr:rowOff>0</xdr:rowOff>
    </xdr:from>
    <xdr:to>
      <xdr:col>20</xdr:col>
      <xdr:colOff>9524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5308B1D6-9348-45D0-B9C8-B2A1472A9964}"/>
            </a:ext>
          </a:extLst>
        </xdr:cNvPr>
        <xdr:cNvGrpSpPr/>
      </xdr:nvGrpSpPr>
      <xdr:grpSpPr>
        <a:xfrm>
          <a:off x="9523" y="0"/>
          <a:ext cx="36242626" cy="19469100"/>
          <a:chOff x="9523" y="0"/>
          <a:chExt cx="36241445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BA101A41-8C73-45E9-B246-2BC8F1FF651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98BE4259-A2CC-4F92-9E30-324D50B955A7}"/>
              </a:ext>
            </a:extLst>
          </xdr:cNvPr>
          <xdr:cNvSpPr/>
        </xdr:nvSpPr>
        <xdr:spPr>
          <a:xfrm>
            <a:off x="1758353" y="9524"/>
            <a:ext cx="34492615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CLIENTES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3ECE922-EA24-4A4A-98CB-E68F8BA4814F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494DE58A-CE21-4D27-9531-A0377163A9CA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4BF3F0D3-482F-41A9-AD9D-CC70CA1F0FBE}"/>
              </a:ext>
            </a:extLst>
          </xdr:cNvPr>
          <xdr:cNvSpPr/>
        </xdr:nvSpPr>
        <xdr:spPr>
          <a:xfrm>
            <a:off x="9523" y="704850"/>
            <a:ext cx="36237369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EABBFD6C-5115-4EBF-A8FC-7E4D270BB4EE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3D0F017-0AC1-4C7D-8BF2-9556DA9D1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C99C71-74AD-4AD9-9B41-256AD3A84999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FFE87DB-1FD6-4116-8106-7ABF8D297418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DC2D891-CC66-4754-9CCC-62C60E2AF9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73A5F09-ECFA-40EE-99A8-DDA61E771216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8A9C7FE-D5D2-404D-8F77-271E17949503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1821E4B-6FF0-45F8-B821-9AB2F1CDFE9C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6CB21ED-9EB8-474C-A7A8-ADD87E5C505C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96E0B0E-581F-4646-8BF4-DC37F574DF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1240F23-8B8A-4DBD-AFCF-4E405BD97E85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862BD40-277B-4E44-B45B-67E3BA6DECCC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08DF6CD-6135-45C9-8200-0E418F2E2CB0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5E5DC67-0189-47E4-B02F-ECAFFCF28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BBFEDD6-0E4A-4ACA-BDBD-0CDECEDE2EDA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8AC2C85-BDF9-456C-A5FA-6DA3EBF08F88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6859B01-5A17-4A00-9CAC-5AD100EF0A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959BA33-243F-4423-A1EC-0FE97D17923C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B2FEF53-EFF6-417F-8BE2-5BE156F415AA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6D4A3875-B2D6-4B3B-9C81-7E412A7B115E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5D3B835A-987E-4503-8B53-3699091F4D7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E237036F-9E92-46A1-824E-5CCC350B9F6C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64FB4AD8-A52D-457F-A1D4-010C79560B96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53118159-A799-4C48-BA23-30D8E722B8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BC287074-368B-45BC-ACC5-B5E494A4CCDD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204B138E-F70C-487E-8555-848DA97A9B28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78C73413-F8B7-470C-BE62-05B4B0689825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A60A339F-A09D-40A0-B4A2-7CD730CD39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A9B56F9B-7F47-4CDD-ACDC-978F6F5BDBBA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56" name="Retângulo 55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44EFDE15-8D05-4D6F-A764-A1222B87A194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7" name="Gráfico 56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9595F431-606A-485C-8A8F-AC0015329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8" name="CaixaDeTexto 5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3017D15-CEEF-430B-8148-6903E5EFC38F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9</xdr:col>
      <xdr:colOff>771525</xdr:colOff>
      <xdr:row>0</xdr:row>
      <xdr:rowOff>742950</xdr:rowOff>
    </xdr:from>
    <xdr:to>
      <xdr:col>9</xdr:col>
      <xdr:colOff>1347525</xdr:colOff>
      <xdr:row>1</xdr:row>
      <xdr:rowOff>556950</xdr:rowOff>
    </xdr:to>
    <xdr:pic>
      <xdr:nvPicPr>
        <xdr:cNvPr id="3" name="Gráfico 2" descr="Telefone">
          <a:extLst>
            <a:ext uri="{FF2B5EF4-FFF2-40B4-BE49-F238E27FC236}">
              <a16:creationId xmlns:a16="http://schemas.microsoft.com/office/drawing/2014/main" id="{5D2818DF-71C0-4B97-8B6A-0BED28176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2382500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</xdr:row>
      <xdr:rowOff>0</xdr:rowOff>
    </xdr:from>
    <xdr:to>
      <xdr:col>1</xdr:col>
      <xdr:colOff>642675</xdr:colOff>
      <xdr:row>2</xdr:row>
      <xdr:rowOff>4500</xdr:rowOff>
    </xdr:to>
    <xdr:pic>
      <xdr:nvPicPr>
        <xdr:cNvPr id="4" name="Gráfico 3" descr="Código de Barras">
          <a:extLst>
            <a:ext uri="{FF2B5EF4-FFF2-40B4-BE49-F238E27FC236}">
              <a16:creationId xmlns:a16="http://schemas.microsoft.com/office/drawing/2014/main" id="{681D5774-36DD-438A-BD28-87F989E92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8288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419100</xdr:colOff>
      <xdr:row>1</xdr:row>
      <xdr:rowOff>0</xdr:rowOff>
    </xdr:from>
    <xdr:to>
      <xdr:col>2</xdr:col>
      <xdr:colOff>995100</xdr:colOff>
      <xdr:row>2</xdr:row>
      <xdr:rowOff>4500</xdr:rowOff>
    </xdr:to>
    <xdr:pic>
      <xdr:nvPicPr>
        <xdr:cNvPr id="6" name="Gráfico 5" descr="Documento">
          <a:extLst>
            <a:ext uri="{FF2B5EF4-FFF2-40B4-BE49-F238E27FC236}">
              <a16:creationId xmlns:a16="http://schemas.microsoft.com/office/drawing/2014/main" id="{D215F0D4-A223-4D2B-8414-74D1E7E3C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956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1828800</xdr:colOff>
      <xdr:row>1</xdr:row>
      <xdr:rowOff>0</xdr:rowOff>
    </xdr:from>
    <xdr:to>
      <xdr:col>3</xdr:col>
      <xdr:colOff>2404800</xdr:colOff>
      <xdr:row>2</xdr:row>
      <xdr:rowOff>4500</xdr:rowOff>
    </xdr:to>
    <xdr:pic>
      <xdr:nvPicPr>
        <xdr:cNvPr id="8" name="Gráfico 7" descr="Edifício">
          <a:extLst>
            <a:ext uri="{FF2B5EF4-FFF2-40B4-BE49-F238E27FC236}">
              <a16:creationId xmlns:a16="http://schemas.microsoft.com/office/drawing/2014/main" id="{877F6524-3331-4A99-A603-0BF2DE41F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57340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1866900</xdr:colOff>
      <xdr:row>1</xdr:row>
      <xdr:rowOff>19050</xdr:rowOff>
    </xdr:from>
    <xdr:to>
      <xdr:col>4</xdr:col>
      <xdr:colOff>2442900</xdr:colOff>
      <xdr:row>2</xdr:row>
      <xdr:rowOff>23550</xdr:rowOff>
    </xdr:to>
    <xdr:pic>
      <xdr:nvPicPr>
        <xdr:cNvPr id="10" name="Gráfico 9" descr="Cidade">
          <a:extLst>
            <a:ext uri="{FF2B5EF4-FFF2-40B4-BE49-F238E27FC236}">
              <a16:creationId xmlns:a16="http://schemas.microsoft.com/office/drawing/2014/main" id="{51FDB9B1-CB50-4BAC-AD58-45B09E5C9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0058400" y="7810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209550</xdr:colOff>
      <xdr:row>1</xdr:row>
      <xdr:rowOff>9525</xdr:rowOff>
    </xdr:from>
    <xdr:to>
      <xdr:col>5</xdr:col>
      <xdr:colOff>785550</xdr:colOff>
      <xdr:row>2</xdr:row>
      <xdr:rowOff>14025</xdr:rowOff>
    </xdr:to>
    <xdr:pic>
      <xdr:nvPicPr>
        <xdr:cNvPr id="12" name="Gráfico 11" descr="Relâmpago">
          <a:extLst>
            <a:ext uri="{FF2B5EF4-FFF2-40B4-BE49-F238E27FC236}">
              <a16:creationId xmlns:a16="http://schemas.microsoft.com/office/drawing/2014/main" id="{7F331498-3C5B-4976-B575-E9CF0124C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887730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76200</xdr:rowOff>
    </xdr:from>
    <xdr:to>
      <xdr:col>6</xdr:col>
      <xdr:colOff>717750</xdr:colOff>
      <xdr:row>1</xdr:row>
      <xdr:rowOff>508200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9C53AF1C-A5AC-4A0C-A764-0F0AFE989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625" y="83820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647700</xdr:colOff>
      <xdr:row>1</xdr:row>
      <xdr:rowOff>19050</xdr:rowOff>
    </xdr:from>
    <xdr:to>
      <xdr:col>7</xdr:col>
      <xdr:colOff>1223700</xdr:colOff>
      <xdr:row>2</xdr:row>
      <xdr:rowOff>23550</xdr:rowOff>
    </xdr:to>
    <xdr:pic>
      <xdr:nvPicPr>
        <xdr:cNvPr id="24" name="Gráfico 23" descr="Funcionário de escritório">
          <a:extLst>
            <a:ext uri="{FF2B5EF4-FFF2-40B4-BE49-F238E27FC236}">
              <a16:creationId xmlns:a16="http://schemas.microsoft.com/office/drawing/2014/main" id="{CA65FFA4-4145-4BA7-BCF0-E2EC73137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11325225" y="7810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12</xdr:col>
      <xdr:colOff>2143125</xdr:colOff>
      <xdr:row>1</xdr:row>
      <xdr:rowOff>0</xdr:rowOff>
    </xdr:from>
    <xdr:to>
      <xdr:col>13</xdr:col>
      <xdr:colOff>337875</xdr:colOff>
      <xdr:row>2</xdr:row>
      <xdr:rowOff>4500</xdr:rowOff>
    </xdr:to>
    <xdr:pic>
      <xdr:nvPicPr>
        <xdr:cNvPr id="52" name="Gráfico 51" descr="Mapa com alfinete">
          <a:extLst>
            <a:ext uri="{FF2B5EF4-FFF2-40B4-BE49-F238E27FC236}">
              <a16:creationId xmlns:a16="http://schemas.microsoft.com/office/drawing/2014/main" id="{E9DE59A6-B389-474B-9A59-305E26343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196310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542925</xdr:colOff>
      <xdr:row>1</xdr:row>
      <xdr:rowOff>0</xdr:rowOff>
    </xdr:from>
    <xdr:to>
      <xdr:col>16</xdr:col>
      <xdr:colOff>1118925</xdr:colOff>
      <xdr:row>2</xdr:row>
      <xdr:rowOff>4500</xdr:rowOff>
    </xdr:to>
    <xdr:pic>
      <xdr:nvPicPr>
        <xdr:cNvPr id="66" name="Gráfico 65" descr="Relógio">
          <a:extLst>
            <a:ext uri="{FF2B5EF4-FFF2-40B4-BE49-F238E27FC236}">
              <a16:creationId xmlns:a16="http://schemas.microsoft.com/office/drawing/2014/main" id="{4B1564B8-F5B0-45F7-8413-06E843302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318230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133350</xdr:colOff>
      <xdr:row>1</xdr:row>
      <xdr:rowOff>0</xdr:rowOff>
    </xdr:from>
    <xdr:to>
      <xdr:col>18</xdr:col>
      <xdr:colOff>709350</xdr:colOff>
      <xdr:row>2</xdr:row>
      <xdr:rowOff>4500</xdr:rowOff>
    </xdr:to>
    <xdr:pic>
      <xdr:nvPicPr>
        <xdr:cNvPr id="70" name="Gráfico 69" descr="Fechar">
          <a:extLst>
            <a:ext uri="{FF2B5EF4-FFF2-40B4-BE49-F238E27FC236}">
              <a16:creationId xmlns:a16="http://schemas.microsoft.com/office/drawing/2014/main" id="{DE5FDB00-924D-4E25-99CD-F46E69829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8413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104775</xdr:colOff>
      <xdr:row>1</xdr:row>
      <xdr:rowOff>0</xdr:rowOff>
    </xdr:from>
    <xdr:to>
      <xdr:col>19</xdr:col>
      <xdr:colOff>680775</xdr:colOff>
      <xdr:row>2</xdr:row>
      <xdr:rowOff>4500</xdr:rowOff>
    </xdr:to>
    <xdr:pic>
      <xdr:nvPicPr>
        <xdr:cNvPr id="72" name="Gráfico 71" descr="Adicionar">
          <a:extLst>
            <a:ext uri="{FF2B5EF4-FFF2-40B4-BE49-F238E27FC236}">
              <a16:creationId xmlns:a16="http://schemas.microsoft.com/office/drawing/2014/main" id="{27D878EB-7F66-40CB-9239-AD2386CC9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292227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714375</xdr:colOff>
      <xdr:row>1</xdr:row>
      <xdr:rowOff>0</xdr:rowOff>
    </xdr:from>
    <xdr:to>
      <xdr:col>8</xdr:col>
      <xdr:colOff>1290375</xdr:colOff>
      <xdr:row>2</xdr:row>
      <xdr:rowOff>4500</xdr:rowOff>
    </xdr:to>
    <xdr:pic>
      <xdr:nvPicPr>
        <xdr:cNvPr id="5" name="Gráfico 4" descr="Envelope">
          <a:extLst>
            <a:ext uri="{FF2B5EF4-FFF2-40B4-BE49-F238E27FC236}">
              <a16:creationId xmlns:a16="http://schemas.microsoft.com/office/drawing/2014/main" id="{1DDC8EBB-FC90-4D18-AA5E-B42AEA1F9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171069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542925</xdr:colOff>
      <xdr:row>1</xdr:row>
      <xdr:rowOff>0</xdr:rowOff>
    </xdr:from>
    <xdr:to>
      <xdr:col>17</xdr:col>
      <xdr:colOff>1118925</xdr:colOff>
      <xdr:row>2</xdr:row>
      <xdr:rowOff>4500</xdr:rowOff>
    </xdr:to>
    <xdr:pic>
      <xdr:nvPicPr>
        <xdr:cNvPr id="7" name="Gráfico 6" descr="Relógio">
          <a:extLst>
            <a:ext uri="{FF2B5EF4-FFF2-40B4-BE49-F238E27FC236}">
              <a16:creationId xmlns:a16="http://schemas.microsoft.com/office/drawing/2014/main" id="{6D7CC7F2-70D3-4927-B63D-9F4E3905B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334899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</xdr:colOff>
      <xdr:row>0</xdr:row>
      <xdr:rowOff>0</xdr:rowOff>
    </xdr:from>
    <xdr:to>
      <xdr:col>9</xdr:col>
      <xdr:colOff>9525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AE6274E-314E-4F48-A95B-BA75C4C1F823}"/>
            </a:ext>
          </a:extLst>
        </xdr:cNvPr>
        <xdr:cNvGrpSpPr/>
      </xdr:nvGrpSpPr>
      <xdr:grpSpPr>
        <a:xfrm>
          <a:off x="9524" y="0"/>
          <a:ext cx="17049751" cy="19469100"/>
          <a:chOff x="9524" y="0"/>
          <a:chExt cx="1704919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0646843-6704-4042-994A-7C075B01568B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2772F2D-C138-497A-95F4-D31270D73AAC}"/>
              </a:ext>
            </a:extLst>
          </xdr:cNvPr>
          <xdr:cNvSpPr/>
        </xdr:nvSpPr>
        <xdr:spPr>
          <a:xfrm>
            <a:off x="1758354" y="9524"/>
            <a:ext cx="15300366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>
                <a:latin typeface="Bahnschrift" panose="020B0502040204020203" pitchFamily="34" charset="0"/>
              </a:rPr>
              <a:t>CONTAS</a:t>
            </a:r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F57BEE0B-A324-4A59-B8B1-04D4DE69F0F9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7D3450B1-77A1-4703-9EDE-FA70058925F2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117AC06-B4CC-488D-BE67-F6E705F54DA0}"/>
              </a:ext>
            </a:extLst>
          </xdr:cNvPr>
          <xdr:cNvSpPr/>
        </xdr:nvSpPr>
        <xdr:spPr>
          <a:xfrm>
            <a:off x="9524" y="713175"/>
            <a:ext cx="17044698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FD9D1F6-42FF-4134-96A2-B6853F65EE22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FA1BAD35-B2B7-4D22-B01A-00D7F5A0F3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F93C576-A8A6-4047-B54B-05BFBCEFFD66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FEEBBE3-03D4-43BC-A383-60F2DEEEE46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93D62A1-56F1-492F-B645-CABED77D8B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0863B9-7E07-4BD7-B3F5-5F3F86C27E77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15FFC0-F83A-42B5-84A1-773EB82087C8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C0FAA2E-127D-4665-97B0-FE7EACEED913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2AE11A9-D357-46D4-A09E-58E875DCD314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53F9274-CE53-4369-A1C6-874F7EFCEE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FAEEA62-022F-44A5-A786-0B2C48AA8362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82614FE-5F39-4ADB-8CBD-1A696306FF84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5DA5815-8C9A-44A8-AA4A-D887EB8E932F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C6859F1-A69B-48D5-B3D9-4BA034501D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D57AFAC-DD99-4F41-A19B-0B60C6CE0404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E6CA11B-DBE8-4A8B-B367-52B61ADA07E7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95D64BFB-6FF4-4CE7-BA94-CDA05F062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530A27F-1DD2-4760-9F43-48895E969F6C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F665D79-857E-425E-A7EE-FF7F65AEF69E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CB8770D9-86A8-4D15-A44A-FEDB55C03618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28E8295A-82A9-486C-9179-32384B8E382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E0082752-C2FD-40A2-A971-5AFA9C33CE8A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53887FDF-A653-4413-ABF6-D3319C1313EE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7DE26CF8-B717-4454-B873-5AA58D1ECA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FC1C17A-9C04-4627-A8D9-AB7336B85DFE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8C22A31-66B9-4C34-8634-A41CF196A35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E809CD78-655E-4DC1-B441-356A713E53A4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BCAE049-FF93-4E53-8368-4F4FDA87B0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97F0C26C-FD01-42ED-85F5-2B35DB4325F4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52" name="Retângulo 51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620A1519-5C21-4F98-8DED-CBA26B967BEF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3" name="Gráfico 52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67454B9E-5A86-4C7F-9E9E-FA94A307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2395848-56C7-47D2-AD96-6212CBAEA4DC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8</xdr:col>
      <xdr:colOff>171450</xdr:colOff>
      <xdr:row>1</xdr:row>
      <xdr:rowOff>9525</xdr:rowOff>
    </xdr:from>
    <xdr:to>
      <xdr:col>8</xdr:col>
      <xdr:colOff>747450</xdr:colOff>
      <xdr:row>2</xdr:row>
      <xdr:rowOff>14025</xdr:rowOff>
    </xdr:to>
    <xdr:pic>
      <xdr:nvPicPr>
        <xdr:cNvPr id="3" name="Gráfico 2" descr="Documento">
          <a:extLst>
            <a:ext uri="{FF2B5EF4-FFF2-40B4-BE49-F238E27FC236}">
              <a16:creationId xmlns:a16="http://schemas.microsoft.com/office/drawing/2014/main" id="{082C5B98-43C7-4A4C-AE1D-CE6994153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2372975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523875</xdr:colOff>
      <xdr:row>1</xdr:row>
      <xdr:rowOff>0</xdr:rowOff>
    </xdr:from>
    <xdr:to>
      <xdr:col>2</xdr:col>
      <xdr:colOff>385500</xdr:colOff>
      <xdr:row>2</xdr:row>
      <xdr:rowOff>4500</xdr:rowOff>
    </xdr:to>
    <xdr:pic>
      <xdr:nvPicPr>
        <xdr:cNvPr id="4" name="Gráfico 3" descr="Calendário mensal">
          <a:extLst>
            <a:ext uri="{FF2B5EF4-FFF2-40B4-BE49-F238E27FC236}">
              <a16:creationId xmlns:a16="http://schemas.microsoft.com/office/drawing/2014/main" id="{E7A9AF2F-6A73-48A1-BA57-E4F2C6C6D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2860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</xdr:row>
      <xdr:rowOff>0</xdr:rowOff>
    </xdr:from>
    <xdr:to>
      <xdr:col>3</xdr:col>
      <xdr:colOff>652200</xdr:colOff>
      <xdr:row>2</xdr:row>
      <xdr:rowOff>4500</xdr:rowOff>
    </xdr:to>
    <xdr:pic>
      <xdr:nvPicPr>
        <xdr:cNvPr id="6" name="Gráfico 5" descr="Código de Barras">
          <a:extLst>
            <a:ext uri="{FF2B5EF4-FFF2-40B4-BE49-F238E27FC236}">
              <a16:creationId xmlns:a16="http://schemas.microsoft.com/office/drawing/2014/main" id="{9D5C3455-FB4A-4574-BFA1-7AB710F1C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438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3286125</xdr:colOff>
      <xdr:row>1</xdr:row>
      <xdr:rowOff>9525</xdr:rowOff>
    </xdr:from>
    <xdr:to>
      <xdr:col>5</xdr:col>
      <xdr:colOff>3862125</xdr:colOff>
      <xdr:row>2</xdr:row>
      <xdr:rowOff>14025</xdr:rowOff>
    </xdr:to>
    <xdr:pic>
      <xdr:nvPicPr>
        <xdr:cNvPr id="8" name="Gráfico 7" descr="Edifício">
          <a:extLst>
            <a:ext uri="{FF2B5EF4-FFF2-40B4-BE49-F238E27FC236}">
              <a16:creationId xmlns:a16="http://schemas.microsoft.com/office/drawing/2014/main" id="{B61D24EC-E331-4762-8CE1-C12DC42C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880110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771525</xdr:colOff>
      <xdr:row>1</xdr:row>
      <xdr:rowOff>0</xdr:rowOff>
    </xdr:from>
    <xdr:to>
      <xdr:col>7</xdr:col>
      <xdr:colOff>1347525</xdr:colOff>
      <xdr:row>2</xdr:row>
      <xdr:rowOff>4500</xdr:rowOff>
    </xdr:to>
    <xdr:pic>
      <xdr:nvPicPr>
        <xdr:cNvPr id="10" name="Gráfico 9" descr="Moedas">
          <a:extLst>
            <a:ext uri="{FF2B5EF4-FFF2-40B4-BE49-F238E27FC236}">
              <a16:creationId xmlns:a16="http://schemas.microsoft.com/office/drawing/2014/main" id="{208E2E7E-E7E6-4FF0-AEFE-D8AD69B9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2125325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</xdr:colOff>
      <xdr:row>0</xdr:row>
      <xdr:rowOff>0</xdr:rowOff>
    </xdr:from>
    <xdr:to>
      <xdr:col>13</xdr:col>
      <xdr:colOff>9525</xdr:colOff>
      <xdr:row>96</xdr:row>
      <xdr:rowOff>28575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F223A8E-C406-450D-9B67-AD6B1DC2A075}"/>
            </a:ext>
          </a:extLst>
        </xdr:cNvPr>
        <xdr:cNvGrpSpPr/>
      </xdr:nvGrpSpPr>
      <xdr:grpSpPr>
        <a:xfrm>
          <a:off x="9524" y="0"/>
          <a:ext cx="20345401" cy="19469100"/>
          <a:chOff x="9524" y="0"/>
          <a:chExt cx="20344738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AFC4787-535D-46D0-A1B9-7DAB2899F8A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7D0531BA-B953-454E-AD0D-EB9138D28A9F}"/>
              </a:ext>
            </a:extLst>
          </xdr:cNvPr>
          <xdr:cNvSpPr/>
        </xdr:nvSpPr>
        <xdr:spPr>
          <a:xfrm>
            <a:off x="1758353" y="9524"/>
            <a:ext cx="1859590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ORDEM DE SERVIÇO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6548EF7-E83A-40A9-9BEC-0CB1D7AFD625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B7684C8-2ED7-4379-B464-E19F45D761C2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4988C687-7305-4217-B5EE-65047E892784}"/>
              </a:ext>
            </a:extLst>
          </xdr:cNvPr>
          <xdr:cNvSpPr/>
        </xdr:nvSpPr>
        <xdr:spPr>
          <a:xfrm>
            <a:off x="9524" y="713175"/>
            <a:ext cx="20343207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7CA0E5A-AADD-4555-A77C-FC3917CB819C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DB285AA0-1462-4C68-ACE2-63BBD520C4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522E894-F83F-4EC4-91BD-6298E39B1E1E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B5F74EA-D919-4C88-9ABD-76A2B18897BB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83E9F82-FF1A-48AC-86DA-A6D068F4D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563E9E2-8D3A-4A05-BE60-6883265DCA64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970A20-4A0B-42FE-B27A-7744BC160E4A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1638923-9384-44AF-A6DA-5E1B8E3637FA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946B159-4380-4024-8FD5-188854F100C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B04BAB8-FEC5-4E16-A5A5-C9B30A0C28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45DBD59-3F0B-498D-BD23-ADA271949E00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04AF48B-42C7-4D99-8897-F842C320719E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0DD7885-6243-4FDC-8C2D-8F2381A7EF14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E2899EE-525B-4FC3-9CCE-601A3FA2DA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B42F544-24A1-4DEC-B757-36650B0B1D17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6C592F6-F42E-4A7B-AAC7-CB34A45B3F90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E6BD30F-0F39-489A-B0BB-D92B426DF6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FD09B5E-2885-488F-9F2E-52524AF94CD6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B898574-0A0E-4817-A69C-6844A2389E71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A411394F-D43A-4324-A8A4-C8C486F6C024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D300C173-9D2A-418B-9D4D-2ECE4C122B50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29" name="Retângulo 2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AF927FCD-F395-47DD-BE78-08E3DCCB04D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830278BE-4625-4334-B3E0-E8072FDA28C1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5556632E-8318-47A4-898D-4DA1B71F497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32" name="Agrupar 3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69DBFCE5-EFAA-4DDD-AAB0-D046533B129E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3BB3B2B-2B4F-4CAF-92BD-BA114BA4A68D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26F60F7-42A6-4A53-85C8-31FEEE176772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2A72C4A-4BB6-41A8-BF6F-B34A9F255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4487E5C1-8E91-48C6-A341-42FE3B303B94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79D62B9B-B864-4123-9A14-813BA2788B1E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3B2B8019-BF3D-4011-92A9-D39ED92B66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51EB9BD-E260-40C0-A4AB-34283C528D38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66675</xdr:colOff>
      <xdr:row>1</xdr:row>
      <xdr:rowOff>0</xdr:rowOff>
    </xdr:from>
    <xdr:to>
      <xdr:col>1</xdr:col>
      <xdr:colOff>642675</xdr:colOff>
      <xdr:row>2</xdr:row>
      <xdr:rowOff>4500</xdr:rowOff>
    </xdr:to>
    <xdr:pic>
      <xdr:nvPicPr>
        <xdr:cNvPr id="45" name="Gráfico 44" descr="Ferramentas de mineração">
          <a:extLst>
            <a:ext uri="{FF2B5EF4-FFF2-40B4-BE49-F238E27FC236}">
              <a16:creationId xmlns:a16="http://schemas.microsoft.com/office/drawing/2014/main" id="{0F079CC6-AB0D-47BC-A932-AC3C1268F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8288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3</xdr:col>
      <xdr:colOff>4500</xdr:colOff>
      <xdr:row>2</xdr:row>
      <xdr:rowOff>4500</xdr:rowOff>
    </xdr:to>
    <xdr:pic>
      <xdr:nvPicPr>
        <xdr:cNvPr id="47" name="Gráfico 46" descr="Rótulo">
          <a:extLst>
            <a:ext uri="{FF2B5EF4-FFF2-40B4-BE49-F238E27FC236}">
              <a16:creationId xmlns:a16="http://schemas.microsoft.com/office/drawing/2014/main" id="{722A6848-99E6-4E94-B850-DC788F50C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4765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</xdr:row>
      <xdr:rowOff>0</xdr:rowOff>
    </xdr:from>
    <xdr:to>
      <xdr:col>3</xdr:col>
      <xdr:colOff>985575</xdr:colOff>
      <xdr:row>2</xdr:row>
      <xdr:rowOff>4500</xdr:rowOff>
    </xdr:to>
    <xdr:pic>
      <xdr:nvPicPr>
        <xdr:cNvPr id="51" name="Gráfico 50" descr="Ponto de interrogação">
          <a:extLst>
            <a:ext uri="{FF2B5EF4-FFF2-40B4-BE49-F238E27FC236}">
              <a16:creationId xmlns:a16="http://schemas.microsoft.com/office/drawing/2014/main" id="{8069E72D-3A46-4B0E-835F-1068527A1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4575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1457325</xdr:colOff>
      <xdr:row>1</xdr:row>
      <xdr:rowOff>0</xdr:rowOff>
    </xdr:from>
    <xdr:to>
      <xdr:col>5</xdr:col>
      <xdr:colOff>2033325</xdr:colOff>
      <xdr:row>2</xdr:row>
      <xdr:rowOff>4500</xdr:rowOff>
    </xdr:to>
    <xdr:pic>
      <xdr:nvPicPr>
        <xdr:cNvPr id="53" name="Gráfico 52" descr="Computador">
          <a:extLst>
            <a:ext uri="{FF2B5EF4-FFF2-40B4-BE49-F238E27FC236}">
              <a16:creationId xmlns:a16="http://schemas.microsoft.com/office/drawing/2014/main" id="{A4087BF9-2FEE-4055-BECB-8466F6C53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9744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1600200</xdr:colOff>
      <xdr:row>1</xdr:row>
      <xdr:rowOff>0</xdr:rowOff>
    </xdr:from>
    <xdr:to>
      <xdr:col>4</xdr:col>
      <xdr:colOff>2176200</xdr:colOff>
      <xdr:row>2</xdr:row>
      <xdr:rowOff>4500</xdr:rowOff>
    </xdr:to>
    <xdr:pic>
      <xdr:nvPicPr>
        <xdr:cNvPr id="55" name="Gráfico 54" descr="Edifício">
          <a:extLst>
            <a:ext uri="{FF2B5EF4-FFF2-40B4-BE49-F238E27FC236}">
              <a16:creationId xmlns:a16="http://schemas.microsoft.com/office/drawing/2014/main" id="{D16BC9C5-73AE-4CFA-8BF3-1AEA1E97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60769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752475</xdr:colOff>
      <xdr:row>1</xdr:row>
      <xdr:rowOff>0</xdr:rowOff>
    </xdr:from>
    <xdr:to>
      <xdr:col>7</xdr:col>
      <xdr:colOff>1328475</xdr:colOff>
      <xdr:row>2</xdr:row>
      <xdr:rowOff>4500</xdr:rowOff>
    </xdr:to>
    <xdr:pic>
      <xdr:nvPicPr>
        <xdr:cNvPr id="59" name="Gráfico 58" descr="Cabeça com engrenagens">
          <a:extLst>
            <a:ext uri="{FF2B5EF4-FFF2-40B4-BE49-F238E27FC236}">
              <a16:creationId xmlns:a16="http://schemas.microsoft.com/office/drawing/2014/main" id="{1C9C55CE-3ECA-4174-B5A2-6E95D4B8A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136493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1</xdr:row>
      <xdr:rowOff>0</xdr:rowOff>
    </xdr:from>
    <xdr:to>
      <xdr:col>8</xdr:col>
      <xdr:colOff>823650</xdr:colOff>
      <xdr:row>2</xdr:row>
      <xdr:rowOff>4500</xdr:rowOff>
    </xdr:to>
    <xdr:pic>
      <xdr:nvPicPr>
        <xdr:cNvPr id="61" name="Gráfico 60" descr="Viva-voz">
          <a:extLst>
            <a:ext uri="{FF2B5EF4-FFF2-40B4-BE49-F238E27FC236}">
              <a16:creationId xmlns:a16="http://schemas.microsoft.com/office/drawing/2014/main" id="{27D8FA3D-EB69-422D-82DA-11C6AA6B6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52209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142875</xdr:colOff>
      <xdr:row>1</xdr:row>
      <xdr:rowOff>0</xdr:rowOff>
    </xdr:from>
    <xdr:to>
      <xdr:col>9</xdr:col>
      <xdr:colOff>718875</xdr:colOff>
      <xdr:row>2</xdr:row>
      <xdr:rowOff>4500</xdr:rowOff>
    </xdr:to>
    <xdr:pic>
      <xdr:nvPicPr>
        <xdr:cNvPr id="63" name="Gráfico 62" descr="Linguagem de sinais">
          <a:extLst>
            <a:ext uri="{FF2B5EF4-FFF2-40B4-BE49-F238E27FC236}">
              <a16:creationId xmlns:a16="http://schemas.microsoft.com/office/drawing/2014/main" id="{9DD1D062-C796-4B1B-9A83-17C7855D8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61258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1104900</xdr:colOff>
      <xdr:row>1</xdr:row>
      <xdr:rowOff>0</xdr:rowOff>
    </xdr:from>
    <xdr:to>
      <xdr:col>12</xdr:col>
      <xdr:colOff>290250</xdr:colOff>
      <xdr:row>2</xdr:row>
      <xdr:rowOff>4500</xdr:rowOff>
    </xdr:to>
    <xdr:pic>
      <xdr:nvPicPr>
        <xdr:cNvPr id="67" name="Gráfico 66" descr="Calendário diário">
          <a:extLst>
            <a:ext uri="{FF2B5EF4-FFF2-40B4-BE49-F238E27FC236}">
              <a16:creationId xmlns:a16="http://schemas.microsoft.com/office/drawing/2014/main" id="{D9A646A2-33D9-4253-A8F1-9679D72F3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86690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0</xdr:rowOff>
    </xdr:from>
    <xdr:to>
      <xdr:col>6</xdr:col>
      <xdr:colOff>861750</xdr:colOff>
      <xdr:row>2</xdr:row>
      <xdr:rowOff>4500</xdr:rowOff>
    </xdr:to>
    <xdr:pic>
      <xdr:nvPicPr>
        <xdr:cNvPr id="69" name="Gráfico 68" descr="Engrenagens">
          <a:extLst>
            <a:ext uri="{FF2B5EF4-FFF2-40B4-BE49-F238E27FC236}">
              <a16:creationId xmlns:a16="http://schemas.microsoft.com/office/drawing/2014/main" id="{81665986-9E28-4040-9619-4C1B5C0DB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12030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1</xdr:row>
      <xdr:rowOff>0</xdr:rowOff>
    </xdr:from>
    <xdr:to>
      <xdr:col>10</xdr:col>
      <xdr:colOff>642675</xdr:colOff>
      <xdr:row>2</xdr:row>
      <xdr:rowOff>4500</xdr:rowOff>
    </xdr:to>
    <xdr:pic>
      <xdr:nvPicPr>
        <xdr:cNvPr id="73" name="Gráfico 72" descr="Call center">
          <a:extLst>
            <a:ext uri="{FF2B5EF4-FFF2-40B4-BE49-F238E27FC236}">
              <a16:creationId xmlns:a16="http://schemas.microsoft.com/office/drawing/2014/main" id="{E333BCB2-836C-44C4-AD5D-952076C00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169164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6</xdr:col>
      <xdr:colOff>3383059</xdr:colOff>
      <xdr:row>96</xdr:row>
      <xdr:rowOff>30256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612F2A1-B135-476A-ABE4-4B2729B136A4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C3D56E2-C4A6-44CA-8E01-B1E1C3D6A79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DCB21FA-C200-4C40-B321-A25EEDC232FD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ESTOQUE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47178FF9-3624-4E74-B72A-D7E0DE48820C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D2A1A6F4-5DD5-465F-B5F9-40237DBD0121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5D1B48E-9820-4AD3-8F98-EDADED8D4F94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EC10D6D-69B3-45B4-992F-488F53365418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1A6BAEA6-4319-41A7-AA8A-0E6151B03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3ADCC71-32F1-4116-AD01-9251C8BAD7A6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6CA7287-05FC-4FDE-BD92-729C2C7D8461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8DA0A0-424C-4668-BE66-3C0B86139F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6D2C30B-9EAD-4F2A-AC37-BB573606C3D8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13</xdr:row>
      <xdr:rowOff>1276</xdr:rowOff>
    </xdr:from>
    <xdr:to>
      <xdr:col>1</xdr:col>
      <xdr:colOff>6464</xdr:colOff>
      <xdr:row>16</xdr:row>
      <xdr:rowOff>87406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7E511D-94EB-4214-9C42-823A9A8DE4D1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BF3EA74-2955-4731-A81B-A532049B4DD2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93385CB-881D-47CF-A3D2-03D11D28FF8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96E455F-DA0A-438E-82BF-BE53498493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36821</xdr:rowOff>
    </xdr:from>
    <xdr:to>
      <xdr:col>1</xdr:col>
      <xdr:colOff>6464</xdr:colOff>
      <xdr:row>10</xdr:row>
      <xdr:rowOff>36820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7AB42AA-5DF3-41C2-B22B-C458395987F3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A59166B-55C2-4915-98CA-B72F0ADD303E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FD2C37D-ED54-426A-8A82-4DADDEC730B3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2DC6DC2-B512-4155-836C-0DBBECCED6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34670</xdr:rowOff>
    </xdr:from>
    <xdr:to>
      <xdr:col>1</xdr:col>
      <xdr:colOff>6464</xdr:colOff>
      <xdr:row>7</xdr:row>
      <xdr:rowOff>42951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051D17E-C108-4630-A95B-66C4062D0C39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F826535-ABD9-4FD3-9B84-8304F84025E4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B22953B-362F-4251-92BC-9058B77B2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DA35387-1DC2-4647-A909-C34A36A14519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30256</xdr:rowOff>
    </xdr:from>
    <xdr:to>
      <xdr:col>1</xdr:col>
      <xdr:colOff>6464</xdr:colOff>
      <xdr:row>13</xdr:row>
      <xdr:rowOff>44440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5EA2EB9-0B45-4F6C-8ABC-39B657742D12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A0287AF6-0F4D-4409-A455-40BC5BA938A2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9C9E88D9-C447-4326-85EE-5B02A3AB0CE2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7F88DE19-7033-428C-BB5C-16DFD93B005F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BEC3D2A0-E5D0-4A84-9E1E-6C7A9409E7A9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26F90992-5349-488C-9E9D-073939B82B7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4</xdr:row>
      <xdr:rowOff>30258</xdr:rowOff>
    </xdr:to>
    <xdr:grpSp>
      <xdr:nvGrpSpPr>
        <xdr:cNvPr id="47" name="Agrupar 4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79B3BF1-4F24-4D2C-839A-D9AADCF7470E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6A813209-ED85-49A1-AB2C-1C2CC9A06AF5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59FEF7B2-48ED-4960-8AFA-BC13FA18167D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F68D1E64-6784-45AF-86A2-5CF980EE7A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182251</xdr:rowOff>
    </xdr:from>
    <xdr:to>
      <xdr:col>1</xdr:col>
      <xdr:colOff>9525</xdr:colOff>
      <xdr:row>19</xdr:row>
      <xdr:rowOff>77881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62496B9A-A431-449D-9B09-887C2CC2590E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51" name="Retângulo 50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9B5880F7-1B65-4FF2-B337-7024BDCA7193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2" name="Gráfico 51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E1EB85F-19FF-45F9-A8D4-93C5CE9227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3" name="CaixaDeTexto 52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E73F8CF-69ED-4D71-8792-DAFF45174E7F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1295400</xdr:colOff>
      <xdr:row>1</xdr:row>
      <xdr:rowOff>0</xdr:rowOff>
    </xdr:from>
    <xdr:to>
      <xdr:col>1</xdr:col>
      <xdr:colOff>1871400</xdr:colOff>
      <xdr:row>2</xdr:row>
      <xdr:rowOff>4500</xdr:rowOff>
    </xdr:to>
    <xdr:pic>
      <xdr:nvPicPr>
        <xdr:cNvPr id="3" name="Gráfico 2" descr="Caixa">
          <a:extLst>
            <a:ext uri="{FF2B5EF4-FFF2-40B4-BE49-F238E27FC236}">
              <a16:creationId xmlns:a16="http://schemas.microsoft.com/office/drawing/2014/main" id="{C790B1C7-8626-445D-90C3-6518513E9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057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142875</xdr:colOff>
      <xdr:row>1</xdr:row>
      <xdr:rowOff>0</xdr:rowOff>
    </xdr:from>
    <xdr:to>
      <xdr:col>2</xdr:col>
      <xdr:colOff>718875</xdr:colOff>
      <xdr:row>2</xdr:row>
      <xdr:rowOff>4500</xdr:rowOff>
    </xdr:to>
    <xdr:pic>
      <xdr:nvPicPr>
        <xdr:cNvPr id="5" name="Gráfico 4" descr="Lista">
          <a:extLst>
            <a:ext uri="{FF2B5EF4-FFF2-40B4-BE49-F238E27FC236}">
              <a16:creationId xmlns:a16="http://schemas.microsoft.com/office/drawing/2014/main" id="{FF54497F-4E2C-4EFF-84F5-E92343E70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0196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104775</xdr:colOff>
      <xdr:row>1</xdr:row>
      <xdr:rowOff>38100</xdr:rowOff>
    </xdr:from>
    <xdr:to>
      <xdr:col>3</xdr:col>
      <xdr:colOff>608775</xdr:colOff>
      <xdr:row>1</xdr:row>
      <xdr:rowOff>542100</xdr:rowOff>
    </xdr:to>
    <xdr:pic>
      <xdr:nvPicPr>
        <xdr:cNvPr id="7" name="Gráfico 6" descr="Dólar">
          <a:extLst>
            <a:ext uri="{FF2B5EF4-FFF2-40B4-BE49-F238E27FC236}">
              <a16:creationId xmlns:a16="http://schemas.microsoft.com/office/drawing/2014/main" id="{2BA20B2F-CFDD-4C83-9ED2-88D831940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5867400" y="800100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1</xdr:row>
      <xdr:rowOff>0</xdr:rowOff>
    </xdr:from>
    <xdr:to>
      <xdr:col>4</xdr:col>
      <xdr:colOff>1014150</xdr:colOff>
      <xdr:row>2</xdr:row>
      <xdr:rowOff>4500</xdr:rowOff>
    </xdr:to>
    <xdr:pic>
      <xdr:nvPicPr>
        <xdr:cNvPr id="9" name="Gráfico 8" descr="Gráfico de pizza">
          <a:extLst>
            <a:ext uri="{FF2B5EF4-FFF2-40B4-BE49-F238E27FC236}">
              <a16:creationId xmlns:a16="http://schemas.microsoft.com/office/drawing/2014/main" id="{7D458AFA-20F3-4ABB-A418-346B5E0F1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69246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409575</xdr:colOff>
      <xdr:row>1</xdr:row>
      <xdr:rowOff>0</xdr:rowOff>
    </xdr:from>
    <xdr:to>
      <xdr:col>5</xdr:col>
      <xdr:colOff>985575</xdr:colOff>
      <xdr:row>2</xdr:row>
      <xdr:rowOff>4500</xdr:rowOff>
    </xdr:to>
    <xdr:pic>
      <xdr:nvPicPr>
        <xdr:cNvPr id="11" name="Gráfico 10" descr="Dinheiro">
          <a:extLst>
            <a:ext uri="{FF2B5EF4-FFF2-40B4-BE49-F238E27FC236}">
              <a16:creationId xmlns:a16="http://schemas.microsoft.com/office/drawing/2014/main" id="{CB0F2044-08ED-46EB-877B-0A4459E1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83248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1428750</xdr:colOff>
      <xdr:row>1</xdr:row>
      <xdr:rowOff>0</xdr:rowOff>
    </xdr:from>
    <xdr:to>
      <xdr:col>6</xdr:col>
      <xdr:colOff>2004750</xdr:colOff>
      <xdr:row>2</xdr:row>
      <xdr:rowOff>4500</xdr:rowOff>
    </xdr:to>
    <xdr:pic>
      <xdr:nvPicPr>
        <xdr:cNvPr id="13" name="Gráfico 12" descr="Carrinho">
          <a:extLst>
            <a:ext uri="{FF2B5EF4-FFF2-40B4-BE49-F238E27FC236}">
              <a16:creationId xmlns:a16="http://schemas.microsoft.com/office/drawing/2014/main" id="{D63C22C0-9518-48AE-A3F2-93D8E0285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0772775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9</xdr:col>
      <xdr:colOff>1506634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D90C82E-B082-4FEE-BA64-1CC1A1A5DE53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DB73E08-D27E-43F2-992A-7AB4E78E235F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EAB477D-095A-4A04-866B-613463A19529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4C09590-02FA-4C09-8336-E328CCF18915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11BD2D25-7A61-4AE2-A8C0-B4F6322EE2B6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1B2FC93-C050-4A19-B9A2-013E54E3759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5460957-CBC0-4FC8-ADD7-A93FDFE5D4E8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103FB9B6-8C87-4DAE-B4BF-9B69C134F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21CA54-856A-4B1B-AD9A-7D08A0294300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4B0A394-5D99-428A-9FFD-E6E3E249202B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EC1CD15-7BE6-4F5C-9400-14A327B4A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E1CF6EB-C99A-4314-8949-E51D511D1459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2F67A0-E243-473D-B780-32C0B236CF11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64EB802-422B-4CEF-9A03-F2AB336C9B3E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8FEEAE6-0EAA-4511-841C-7CB8CB803D4F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D7D30FF-C6F7-4AB4-A8F5-E421E7C2EB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FF93BB4-C3FC-4BDA-B64E-6C91D92C42B6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0FC11B2-9F4D-4598-9F26-8D94CD574FF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A18A3D5-192C-4218-BB1C-47CBBC47287C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844647C-3DC6-4BE9-BE9A-2FF120780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F143EBC-5ADC-45F6-A72F-B1502AC373FB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5E728FD-1150-47EF-9776-7AE44C0036B3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47A803E-971A-4EC4-99A0-97B1071D9B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0F7D393-DE13-4AC6-8043-0025A95B74F2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20E45CA-FEA4-419A-8C67-4FAFA40B1B83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AE4FB116-8E60-4781-8086-9AC345C1102C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BA7B82D6-47B7-46C6-8D73-FFB9BA82D33A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98D60A5-90FA-4A93-AF3F-1228F50AC2A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ED10BB82-401B-4F90-9512-21F84104D10C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6AD5B7D5-D9D8-4500-917C-1606D3191A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06D6F58-0503-4736-8B64-2C475F04E641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BFF799C-F32D-482C-9F8C-FB34CAAD0DDD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53F46EC-E6E8-46E2-94AC-FE020B390DA9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2112261-A024-440A-B694-BFF1E2CD3E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30DE08FD-C7BE-4502-9F41-83BDEF2124A8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A6ED7312-2397-4194-9A15-40E19D805F7A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80E34ED0-D5C6-4CD6-AD5E-83918444D1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F05FDEEE-28A3-488C-9A1C-2E0B3C41DEEA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8</xdr:col>
      <xdr:colOff>287434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2EDD95E-6D6E-4D71-A32F-E3F8ACAB458E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77B007C-1125-4EE5-A1A7-6BE5E26A4F7C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36836242-89FF-45DD-8E71-AD9A1F65D78E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BDB5DCD7-5CF9-4F10-A0D4-2502902C1EEA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99729DC-4DB6-4FC7-B1EB-6185D26EA40E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20302E1F-3459-4BB0-AC6F-A1C642A592B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6D0DE063-BC54-40D8-B86B-E447BE3D40A3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AE7FDB04-BF81-4BB8-A00F-4F0184491B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5CBE21-7E7E-4DDA-850E-1B9673E87639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585A154-7092-431B-BD6B-78A14714AC02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3E0F7DD-4072-4816-BB0C-4A5DA66B6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E4F9E8-27D0-49A7-975A-F06767B2C00E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F001D00-51E7-4C84-ADDF-0867064557A9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206FC81-C52A-4556-AC33-1F67ACFB0145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53195D8-F910-4022-9428-9C7E0C6A55D7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C297F8C-516C-4865-85ED-42FAA281E1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012BBF5-C114-4809-A231-ECCCDD90A212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3E5F49C-558F-4F13-A384-4915CC15FB6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82C77DF-108B-4320-8656-C1852A3E5D86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2BD55E5-AA25-40FE-A471-2D2A1678DE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8A103E8-B6BE-4C89-B3C2-D15C7A08090F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8CEAD31-B476-4B0C-9D4D-3C2CF670A2AB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A448FD2-D98B-4436-91F0-81359586DC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81DCF50-ABE5-49D1-AD9A-B4E51F36D3D3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0155B9B-3041-47BC-8EC8-3502C43D9533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8FF02795-5932-4621-8E5F-0DEAD7C24785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C8B50B26-316F-43C0-B33D-035EDED7ACD6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D5F1D8C-C9EC-4D7B-8713-5E9931201FA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67A473EB-02C0-4986-8801-66F01DDA9CFE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895C1F7F-445D-434B-9D3E-EFEADDABFA7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8709A9E-1456-43C2-AEE5-FB262700DEDC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6C2DAFEB-3295-4106-9FDC-7F62B494B998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C87F628-34E6-4FA5-BCDE-2B80295AA8FA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3CF8B35-A191-40DE-BC45-2851044335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8F5F307B-6F6F-4B2D-B173-77F7A3E8DAA3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3ED8B6F-4751-45CC-BF59-6954DED0A221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A97E892-C421-4D5C-AFBC-85822B8EE9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C38532C-8045-49E9-B53A-6366614D7CC4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8</xdr:col>
      <xdr:colOff>287434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5EF9ED1-1376-49FE-96EE-39410B1A8400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A0D40E8-2041-46FB-BC93-58DFE992DB14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E7F9F862-BADA-44B0-AC6D-AFDCC8B3A272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E4BFCD30-0C2B-403F-9BF7-8359B59DBDAC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DF703B2-710C-457E-9CA4-BBA5BB169C6D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9D3D5D1E-9231-402C-AB4F-1D988480D8D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577847D-C0B4-43ED-B924-EC7F1F24ACDE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E35A635F-D315-4A03-A194-646318B63F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9D673CF-DCDF-4C5D-9549-60D6CB2B7AD4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E1B5A1-09D4-46A0-8633-99137530A96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2A0AFBE-AED4-4A6E-AEC8-9680258384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C623A39-9627-40D9-AC9E-318EC9F6C20A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3162456-58F4-4FD2-9AF9-9BCC4B622742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4ACE188-19D7-44A0-B1AE-5554D6AC6530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4BB752E-D2DC-4F9D-83A3-1AE18CEB51B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FFA0D52-24D3-46B0-8478-C951990664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4DE3AF6-E455-4FB4-8901-F9DF1E9B10B8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70C989E-D8BA-468F-B7F4-4806C7EF39D5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B6D4D5D-133F-4625-A1CE-9FE754DEC961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8631818-ABD4-422D-A83F-DF057BBB60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2F734A5-0838-4AEC-BA5A-72A0B0508D89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68B218D-9364-44F9-9426-AABF0E7BDC67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968E404-9EFB-43F4-AC4E-011C8F74E2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194C319-AE93-4DD5-9196-18175E84E89E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4EFC180-D00C-4FF2-81F1-F27B5B3DA04A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299D7203-5EA0-4D8B-B113-6E1ABEC72E3D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D7CF61DE-CB70-483F-A881-6B81317627F8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8DDCA69-8C0E-4653-9A83-6B4ABED453CE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F3D25236-51C5-4729-BAE6-AF6A3968A814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AD5A688C-B380-45A9-A5C5-C25FC7EB133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CE84475-A906-433E-9F60-3DF5526E32FB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D5A3393-D7B5-4F1D-B078-767631F2EB87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70BA1E21-020E-4239-B4B9-21DDF21589C6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E7D8996-75CA-4974-BB68-E1293C7089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C599738F-0C43-4017-83B1-00C744121732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5CEDAB14-E1F2-420F-B278-7D77C7BB607F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C0AF7D73-DF16-4029-986A-A077730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0C978D7-F056-42D5-AFAB-931372A9EDFD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atendimento@empresafenix.com.br" TargetMode="External"/><Relationship Id="rId2" Type="http://schemas.openxmlformats.org/officeDocument/2006/relationships/hyperlink" Target="mailto:senac@hotmail.com" TargetMode="External"/><Relationship Id="rId1" Type="http://schemas.openxmlformats.org/officeDocument/2006/relationships/hyperlink" Target="mailto:techlandia@hotmail.com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D2E3C-ACCD-4AFB-AC42-700748ED5478}">
  <sheetPr codeName="Planilha1"/>
  <dimension ref="B1:Q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9.140625" style="5" customWidth="1"/>
    <col min="3" max="4" width="9.140625" style="6" customWidth="1"/>
    <col min="5" max="8" width="9.140625" style="5" customWidth="1"/>
    <col min="9" max="9" width="9.140625" style="22" customWidth="1"/>
    <col min="10" max="13" width="9.140625" style="5" customWidth="1"/>
    <col min="14" max="14" width="9.140625" style="17" customWidth="1"/>
    <col min="15" max="15" width="9.140625" style="5" customWidth="1"/>
    <col min="16" max="16" width="9.140625" style="7" customWidth="1"/>
    <col min="17" max="17" width="9.140625" style="5" customWidth="1"/>
    <col min="19" max="21" width="9.140625" customWidth="1"/>
  </cols>
  <sheetData>
    <row r="1" spans="2:17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2:17" ht="45" customHeigh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2:17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2:17" ht="30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2:17" ht="15" customHeight="1" x14ac:dyDescent="0.25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2:17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2:17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2:17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2:17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2:17" x14ac:dyDescent="0.25">
      <c r="J10" s="14"/>
      <c r="P10" s="5"/>
      <c r="Q10" s="14"/>
    </row>
    <row r="11" spans="2:17" x14ac:dyDescent="0.25">
      <c r="J11" s="14"/>
      <c r="P11" s="5"/>
      <c r="Q11" s="14"/>
    </row>
    <row r="13" spans="2:17" x14ac:dyDescent="0.25">
      <c r="B13"/>
      <c r="C13"/>
      <c r="D13"/>
      <c r="E13" s="10"/>
      <c r="F13"/>
      <c r="G13"/>
      <c r="H13"/>
      <c r="I13" s="23"/>
      <c r="J13"/>
      <c r="K13"/>
      <c r="L13"/>
      <c r="M13"/>
      <c r="N13" s="18"/>
      <c r="O13"/>
      <c r="P13"/>
      <c r="Q13"/>
    </row>
    <row r="14" spans="2:17" x14ac:dyDescent="0.25">
      <c r="B14"/>
      <c r="C14"/>
      <c r="D14"/>
      <c r="E14"/>
      <c r="F14"/>
      <c r="G14"/>
      <c r="H14"/>
      <c r="I14" s="23"/>
      <c r="J14"/>
      <c r="K14"/>
      <c r="L14"/>
      <c r="M14"/>
      <c r="N14" s="18"/>
      <c r="O14"/>
      <c r="P14"/>
      <c r="Q14"/>
    </row>
    <row r="15" spans="2:17" x14ac:dyDescent="0.25">
      <c r="C15" s="6" t="s">
        <v>25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9E03E-9DFC-4D0E-B9F0-316046150C9E}">
  <sheetPr codeName="Planilha2"/>
  <dimension ref="B1:Q10"/>
  <sheetViews>
    <sheetView showGridLines="0" topLeftCell="G1" zoomScaleNormal="100" workbookViewId="0">
      <selection activeCell="Q6" sqref="Q6"/>
    </sheetView>
  </sheetViews>
  <sheetFormatPr defaultRowHeight="15" x14ac:dyDescent="0.25"/>
  <cols>
    <col min="1" max="1" width="26.42578125" customWidth="1"/>
    <col min="2" max="2" width="10.7109375" style="5" customWidth="1"/>
    <col min="3" max="3" width="13.28515625" style="6" bestFit="1" customWidth="1"/>
    <col min="4" max="4" width="10.85546875" style="6" bestFit="1" customWidth="1"/>
    <col min="5" max="5" width="21.42578125" style="5" customWidth="1"/>
    <col min="6" max="6" width="51.85546875" style="5" bestFit="1" customWidth="1"/>
    <col min="7" max="7" width="17.28515625" style="5" customWidth="1"/>
    <col min="8" max="8" width="31.140625" style="5" bestFit="1" customWidth="1"/>
    <col min="9" max="9" width="13.28515625" style="22" bestFit="1" customWidth="1"/>
    <col min="10" max="10" width="13" style="14" customWidth="1"/>
    <col min="11" max="11" width="10.7109375" style="5" bestFit="1" customWidth="1"/>
    <col min="12" max="12" width="14" style="5" bestFit="1" customWidth="1"/>
    <col min="13" max="13" width="12.7109375" style="5" bestFit="1" customWidth="1"/>
    <col min="14" max="14" width="13.7109375" style="17" bestFit="1" customWidth="1"/>
    <col min="15" max="15" width="42.5703125" style="5" bestFit="1" customWidth="1"/>
    <col min="16" max="16" width="16" style="7" bestFit="1" customWidth="1"/>
    <col min="17" max="17" width="12.5703125" style="5" customWidth="1"/>
    <col min="20" max="20" width="0" hidden="1" customWidth="1"/>
  </cols>
  <sheetData>
    <row r="1" spans="2:17" ht="60" customHeight="1" thickBot="1" x14ac:dyDescent="0.3">
      <c r="B1"/>
      <c r="C1"/>
      <c r="D1"/>
      <c r="E1"/>
      <c r="F1"/>
      <c r="G1"/>
      <c r="H1"/>
      <c r="I1" s="23"/>
      <c r="J1" s="50"/>
      <c r="K1"/>
      <c r="L1"/>
      <c r="M1"/>
      <c r="N1"/>
      <c r="O1"/>
      <c r="P1"/>
      <c r="Q1"/>
    </row>
    <row r="2" spans="2:17" ht="45" customHeight="1" thickBot="1" x14ac:dyDescent="0.3">
      <c r="B2" s="31"/>
      <c r="C2" s="31"/>
      <c r="D2" s="31"/>
      <c r="E2" s="31"/>
      <c r="F2" s="31"/>
      <c r="G2" s="31"/>
      <c r="H2" s="31"/>
      <c r="I2" s="48"/>
      <c r="J2" s="51"/>
      <c r="K2" s="112"/>
      <c r="L2" s="113"/>
      <c r="M2" s="114"/>
      <c r="N2" s="31"/>
      <c r="O2" s="31"/>
      <c r="P2" s="31"/>
      <c r="Q2" s="31"/>
    </row>
    <row r="3" spans="2:17" ht="15.75" thickBot="1" x14ac:dyDescent="0.3">
      <c r="B3"/>
      <c r="C3"/>
      <c r="D3"/>
      <c r="E3"/>
      <c r="F3"/>
      <c r="G3"/>
      <c r="H3"/>
      <c r="I3" s="23"/>
      <c r="J3" s="50"/>
      <c r="K3"/>
      <c r="L3"/>
      <c r="M3"/>
      <c r="N3"/>
      <c r="O3"/>
      <c r="P3"/>
      <c r="Q3"/>
    </row>
    <row r="4" spans="2:17" ht="30" customHeight="1" thickBot="1" x14ac:dyDescent="0.3">
      <c r="B4" s="24" t="s">
        <v>4</v>
      </c>
      <c r="C4" s="25" t="s">
        <v>5</v>
      </c>
      <c r="D4" s="25" t="s">
        <v>13</v>
      </c>
      <c r="E4" s="24" t="s">
        <v>6</v>
      </c>
      <c r="F4" s="24" t="s">
        <v>10</v>
      </c>
      <c r="G4" s="24" t="s">
        <v>3</v>
      </c>
      <c r="H4" s="24" t="s">
        <v>7</v>
      </c>
      <c r="I4" s="49" t="s">
        <v>18</v>
      </c>
      <c r="J4" s="52" t="s">
        <v>8</v>
      </c>
      <c r="K4" s="24" t="s">
        <v>16</v>
      </c>
      <c r="L4" s="24" t="s">
        <v>17</v>
      </c>
      <c r="M4" s="24" t="s">
        <v>22</v>
      </c>
      <c r="N4" s="24" t="s">
        <v>19</v>
      </c>
      <c r="O4" s="24" t="s">
        <v>9</v>
      </c>
      <c r="P4" s="26" t="s">
        <v>0</v>
      </c>
      <c r="Q4" s="24" t="s">
        <v>15</v>
      </c>
    </row>
    <row r="5" spans="2:17" x14ac:dyDescent="0.25">
      <c r="B5" s="2" t="s">
        <v>96</v>
      </c>
      <c r="C5" s="2" t="s">
        <v>94</v>
      </c>
      <c r="D5" s="2" t="s">
        <v>14</v>
      </c>
      <c r="E5" s="2" t="s">
        <v>12</v>
      </c>
      <c r="F5" s="2" t="s">
        <v>20</v>
      </c>
      <c r="G5" s="2" t="s">
        <v>1</v>
      </c>
      <c r="H5" s="2" t="s">
        <v>11</v>
      </c>
      <c r="I5" s="19" t="s">
        <v>21</v>
      </c>
      <c r="J5" s="8">
        <v>36503</v>
      </c>
      <c r="K5" s="8" t="s">
        <v>86</v>
      </c>
      <c r="L5" s="8" t="s">
        <v>84</v>
      </c>
      <c r="M5" s="8" t="s">
        <v>23</v>
      </c>
      <c r="N5" s="15">
        <v>0</v>
      </c>
      <c r="O5" s="2" t="s">
        <v>24</v>
      </c>
      <c r="P5" s="2" t="s">
        <v>90</v>
      </c>
      <c r="Q5" s="8">
        <v>44322</v>
      </c>
    </row>
    <row r="6" spans="2:17" x14ac:dyDescent="0.25">
      <c r="B6" s="54" t="s">
        <v>95</v>
      </c>
      <c r="C6" s="54" t="s">
        <v>93</v>
      </c>
      <c r="D6" s="54" t="s">
        <v>14</v>
      </c>
      <c r="E6" s="54" t="s">
        <v>12</v>
      </c>
      <c r="F6" s="54" t="s">
        <v>153</v>
      </c>
      <c r="G6" s="54" t="s">
        <v>83</v>
      </c>
      <c r="H6" s="54" t="s">
        <v>74</v>
      </c>
      <c r="I6" s="55" t="s">
        <v>156</v>
      </c>
      <c r="J6" s="56">
        <v>33683</v>
      </c>
      <c r="K6" s="56" t="s">
        <v>87</v>
      </c>
      <c r="L6" s="56" t="s">
        <v>88</v>
      </c>
      <c r="M6" s="56" t="s">
        <v>89</v>
      </c>
      <c r="N6" s="57">
        <v>2</v>
      </c>
      <c r="O6" s="54" t="s">
        <v>92</v>
      </c>
      <c r="P6" s="54" t="s">
        <v>91</v>
      </c>
      <c r="Q6" s="56">
        <v>44322</v>
      </c>
    </row>
    <row r="8" spans="2:17" x14ac:dyDescent="0.25">
      <c r="B8"/>
      <c r="C8"/>
      <c r="D8"/>
      <c r="E8" s="10"/>
      <c r="F8"/>
      <c r="G8"/>
      <c r="H8"/>
      <c r="I8" s="23"/>
      <c r="J8" s="50"/>
      <c r="K8"/>
      <c r="L8"/>
      <c r="M8"/>
      <c r="N8" s="18"/>
      <c r="O8"/>
      <c r="P8"/>
      <c r="Q8"/>
    </row>
    <row r="9" spans="2:17" x14ac:dyDescent="0.25">
      <c r="B9"/>
      <c r="C9"/>
      <c r="D9"/>
      <c r="E9"/>
      <c r="F9"/>
      <c r="G9"/>
      <c r="H9"/>
      <c r="I9" s="23"/>
      <c r="J9" s="50"/>
      <c r="K9"/>
      <c r="L9"/>
      <c r="M9"/>
      <c r="N9" s="18"/>
      <c r="O9"/>
      <c r="P9"/>
      <c r="Q9"/>
    </row>
    <row r="10" spans="2:17" x14ac:dyDescent="0.25">
      <c r="C10" s="6" t="s">
        <v>25</v>
      </c>
    </row>
  </sheetData>
  <sortState xmlns:xlrd2="http://schemas.microsoft.com/office/spreadsheetml/2017/richdata2" ref="B5:Q6">
    <sortCondition ref="G4:G6"/>
  </sortState>
  <mergeCells count="1">
    <mergeCell ref="K2:M2"/>
  </mergeCells>
  <conditionalFormatting sqref="B6:Q1048576">
    <cfRule type="notContainsBlanks" dxfId="5" priority="1">
      <formula>LEN(TRIM(B6))&gt;0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AC713-D3CB-4634-A38C-DAF8DA64A372}">
  <sheetPr codeName="Planilha3"/>
  <dimension ref="B1:Z15"/>
  <sheetViews>
    <sheetView showGridLines="0" tabSelected="1" zoomScaleNormal="100" workbookViewId="0">
      <selection activeCell="C10" sqref="C10"/>
    </sheetView>
  </sheetViews>
  <sheetFormatPr defaultRowHeight="15" x14ac:dyDescent="0.25"/>
  <cols>
    <col min="1" max="1" width="26.42578125" customWidth="1"/>
    <col min="2" max="2" width="11.28515625" style="68" customWidth="1"/>
    <col min="3" max="3" width="32.85546875" style="68" customWidth="1"/>
    <col min="4" max="5" width="32.85546875" style="69" customWidth="1"/>
    <col min="6" max="9" width="32.85546875" style="68" customWidth="1"/>
    <col min="10" max="10" width="32.85546875" style="84" customWidth="1"/>
    <col min="11" max="14" width="32.85546875" style="68" customWidth="1"/>
    <col min="15" max="15" width="14.28515625" style="68" customWidth="1"/>
    <col min="16" max="16" width="21.42578125" style="68" customWidth="1"/>
    <col min="17" max="17" width="28.5703125" style="68" customWidth="1"/>
    <col min="18" max="18" width="0" style="68" hidden="1" customWidth="1"/>
    <col min="19" max="19" width="30.42578125" style="68" bestFit="1" customWidth="1"/>
    <col min="20" max="20" width="9.140625" style="68"/>
    <col min="21" max="21" width="28.5703125" style="68" customWidth="1"/>
    <col min="22" max="22" width="13.7109375" style="68" customWidth="1"/>
    <col min="23" max="23" width="14" style="68" customWidth="1"/>
    <col min="24" max="24" width="21.42578125" style="86" customWidth="1"/>
    <col min="25" max="25" width="49.5703125" bestFit="1" customWidth="1"/>
    <col min="26" max="26" width="20.42578125" bestFit="1" customWidth="1"/>
  </cols>
  <sheetData>
    <row r="1" spans="2:26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</row>
    <row r="2" spans="2:26" ht="45" customHeight="1" thickBot="1" x14ac:dyDescent="0.3">
      <c r="B2" s="31"/>
      <c r="C2" s="31"/>
      <c r="D2" s="31"/>
      <c r="E2" s="31"/>
      <c r="F2" s="31"/>
      <c r="G2" s="31"/>
      <c r="H2" s="31"/>
      <c r="I2" s="31"/>
      <c r="J2" s="31"/>
      <c r="K2" s="31"/>
      <c r="L2" s="42"/>
      <c r="M2" s="42"/>
      <c r="N2" s="42"/>
      <c r="O2" s="115" t="s">
        <v>45</v>
      </c>
      <c r="P2" s="116"/>
      <c r="Q2" s="116"/>
      <c r="R2" s="116"/>
      <c r="S2" s="116"/>
      <c r="T2" s="116"/>
      <c r="U2" s="117"/>
      <c r="V2" s="31"/>
      <c r="W2" s="39"/>
      <c r="X2" s="31"/>
      <c r="Y2" s="31"/>
      <c r="Z2" s="31"/>
    </row>
    <row r="3" spans="2:26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 s="5"/>
      <c r="P3"/>
      <c r="Q3"/>
      <c r="R3"/>
      <c r="S3"/>
      <c r="T3"/>
      <c r="U3"/>
      <c r="V3"/>
      <c r="W3"/>
      <c r="X3"/>
    </row>
    <row r="4" spans="2:26" ht="30" customHeight="1" thickBot="1" x14ac:dyDescent="0.3">
      <c r="B4" s="24" t="s">
        <v>33</v>
      </c>
      <c r="C4" s="24" t="s">
        <v>26</v>
      </c>
      <c r="D4" s="25" t="s">
        <v>27</v>
      </c>
      <c r="E4" s="25" t="s">
        <v>28</v>
      </c>
      <c r="F4" s="24" t="s">
        <v>29</v>
      </c>
      <c r="G4" s="24" t="s">
        <v>30</v>
      </c>
      <c r="H4" s="24" t="s">
        <v>31</v>
      </c>
      <c r="I4" s="24" t="s">
        <v>32</v>
      </c>
      <c r="J4" s="24" t="s">
        <v>34</v>
      </c>
      <c r="K4" s="24" t="s">
        <v>36</v>
      </c>
      <c r="L4" s="24" t="s">
        <v>37</v>
      </c>
      <c r="M4" s="24" t="s">
        <v>35</v>
      </c>
      <c r="N4" s="24" t="s">
        <v>38</v>
      </c>
      <c r="O4" s="29" t="s">
        <v>43</v>
      </c>
      <c r="P4" s="29" t="s">
        <v>39</v>
      </c>
      <c r="Q4" s="28" t="s">
        <v>40</v>
      </c>
      <c r="R4" s="27" t="s">
        <v>41</v>
      </c>
      <c r="S4" s="29" t="s">
        <v>41</v>
      </c>
      <c r="T4" s="29" t="s">
        <v>42</v>
      </c>
      <c r="U4" s="30" t="s">
        <v>44</v>
      </c>
      <c r="V4" s="24" t="s">
        <v>135</v>
      </c>
      <c r="W4" s="28" t="s">
        <v>62</v>
      </c>
      <c r="X4" s="26" t="s">
        <v>53</v>
      </c>
      <c r="Y4" s="26" t="s">
        <v>47</v>
      </c>
      <c r="Z4" s="26" t="s">
        <v>176</v>
      </c>
    </row>
    <row r="5" spans="2:26" ht="15" customHeight="1" x14ac:dyDescent="0.25">
      <c r="B5" s="59">
        <v>1001</v>
      </c>
      <c r="C5" s="59" t="s">
        <v>101</v>
      </c>
      <c r="D5" s="59" t="s">
        <v>100</v>
      </c>
      <c r="E5" s="59" t="s">
        <v>99</v>
      </c>
      <c r="F5" s="59" t="s">
        <v>98</v>
      </c>
      <c r="G5" s="59"/>
      <c r="H5" s="59" t="s">
        <v>97</v>
      </c>
      <c r="I5" s="59"/>
      <c r="J5" s="80" t="s">
        <v>102</v>
      </c>
      <c r="K5" s="81" t="s">
        <v>103</v>
      </c>
      <c r="L5" s="81" t="s">
        <v>104</v>
      </c>
      <c r="M5" s="81" t="s">
        <v>105</v>
      </c>
      <c r="N5" s="81"/>
      <c r="O5" s="59" t="s">
        <v>106</v>
      </c>
      <c r="P5" s="59" t="s">
        <v>107</v>
      </c>
      <c r="Q5" s="59" t="s">
        <v>108</v>
      </c>
      <c r="R5" s="59"/>
      <c r="S5" s="59" t="s">
        <v>109</v>
      </c>
      <c r="T5" s="59">
        <v>2077</v>
      </c>
      <c r="U5" s="59" t="s">
        <v>110</v>
      </c>
      <c r="V5" s="81">
        <v>44357</v>
      </c>
      <c r="W5" s="59" t="s">
        <v>111</v>
      </c>
      <c r="X5" s="59" t="s">
        <v>134</v>
      </c>
      <c r="Y5" s="34" t="s">
        <v>141</v>
      </c>
      <c r="Z5" s="88" t="s">
        <v>177</v>
      </c>
    </row>
    <row r="6" spans="2:26" x14ac:dyDescent="0.25">
      <c r="B6" s="60">
        <v>1002</v>
      </c>
      <c r="C6" s="60" t="s">
        <v>121</v>
      </c>
      <c r="D6" s="60" t="s">
        <v>122</v>
      </c>
      <c r="E6" s="60" t="s">
        <v>99</v>
      </c>
      <c r="F6" s="60" t="s">
        <v>98</v>
      </c>
      <c r="G6" s="60" t="s">
        <v>123</v>
      </c>
      <c r="H6" s="60" t="s">
        <v>124</v>
      </c>
      <c r="I6" s="60"/>
      <c r="J6" s="82" t="s">
        <v>102</v>
      </c>
      <c r="K6" s="83" t="s">
        <v>112</v>
      </c>
      <c r="L6" s="83" t="s">
        <v>113</v>
      </c>
      <c r="M6" s="83" t="s">
        <v>114</v>
      </c>
      <c r="N6" s="83"/>
      <c r="O6" s="60" t="s">
        <v>115</v>
      </c>
      <c r="P6" s="60" t="s">
        <v>107</v>
      </c>
      <c r="Q6" s="60" t="s">
        <v>108</v>
      </c>
      <c r="R6" s="60"/>
      <c r="S6" s="60" t="s">
        <v>109</v>
      </c>
      <c r="T6" s="60">
        <v>2078</v>
      </c>
      <c r="U6" s="60" t="s">
        <v>110</v>
      </c>
      <c r="V6" s="83">
        <v>44358</v>
      </c>
      <c r="W6" s="60" t="s">
        <v>139</v>
      </c>
      <c r="X6" s="60" t="s">
        <v>136</v>
      </c>
      <c r="Y6" s="87" t="s">
        <v>126</v>
      </c>
      <c r="Z6" s="88" t="s">
        <v>178</v>
      </c>
    </row>
    <row r="7" spans="2:26" x14ac:dyDescent="0.25">
      <c r="B7" s="60">
        <v>1003</v>
      </c>
      <c r="C7" s="60" t="s">
        <v>116</v>
      </c>
      <c r="D7" s="60" t="s">
        <v>100</v>
      </c>
      <c r="E7" s="60" t="s">
        <v>99</v>
      </c>
      <c r="F7" s="60" t="s">
        <v>98</v>
      </c>
      <c r="G7" s="60"/>
      <c r="H7" s="60" t="s">
        <v>97</v>
      </c>
      <c r="I7" s="60"/>
      <c r="J7" s="82" t="s">
        <v>102</v>
      </c>
      <c r="K7" s="83" t="s">
        <v>117</v>
      </c>
      <c r="L7" s="83" t="s">
        <v>118</v>
      </c>
      <c r="M7" s="83" t="s">
        <v>119</v>
      </c>
      <c r="N7" s="83"/>
      <c r="O7" s="60" t="s">
        <v>120</v>
      </c>
      <c r="P7" s="60" t="s">
        <v>107</v>
      </c>
      <c r="Q7" s="60" t="s">
        <v>108</v>
      </c>
      <c r="R7" s="60"/>
      <c r="S7" s="60" t="s">
        <v>109</v>
      </c>
      <c r="T7" s="60">
        <v>2079</v>
      </c>
      <c r="U7" s="60" t="s">
        <v>110</v>
      </c>
      <c r="V7" s="83">
        <v>44359</v>
      </c>
      <c r="W7" s="60" t="s">
        <v>138</v>
      </c>
      <c r="X7" s="60" t="s">
        <v>137</v>
      </c>
      <c r="Y7" s="64" t="s">
        <v>76</v>
      </c>
      <c r="Z7" s="89" t="s">
        <v>177</v>
      </c>
    </row>
    <row r="8" spans="2:26" x14ac:dyDescent="0.25">
      <c r="D8" s="68"/>
      <c r="E8" s="68"/>
      <c r="J8" s="68"/>
      <c r="X8" s="68"/>
    </row>
    <row r="9" spans="2:26" x14ac:dyDescent="0.25">
      <c r="D9" s="68"/>
      <c r="E9" s="68"/>
      <c r="J9" s="68"/>
      <c r="X9" s="68"/>
    </row>
    <row r="10" spans="2:26" x14ac:dyDescent="0.25">
      <c r="K10" s="85"/>
      <c r="O10" s="85"/>
      <c r="X10" s="68"/>
    </row>
    <row r="11" spans="2:26" x14ac:dyDescent="0.25">
      <c r="K11" s="85"/>
      <c r="O11" s="85"/>
      <c r="X11" s="68"/>
    </row>
    <row r="13" spans="2:26" x14ac:dyDescent="0.25">
      <c r="D13" s="68"/>
      <c r="E13" s="68"/>
      <c r="F13" s="70"/>
      <c r="X13" s="68"/>
    </row>
    <row r="14" spans="2:26" x14ac:dyDescent="0.25">
      <c r="D14" s="68"/>
      <c r="E14" s="68"/>
      <c r="X14" s="68"/>
    </row>
    <row r="15" spans="2:26" x14ac:dyDescent="0.25">
      <c r="D15" s="69" t="s">
        <v>25</v>
      </c>
    </row>
  </sheetData>
  <mergeCells count="1">
    <mergeCell ref="O2:U2"/>
  </mergeCells>
  <phoneticPr fontId="5" type="noConversion"/>
  <conditionalFormatting sqref="B6:X1048576 Z6:Z7">
    <cfRule type="notContainsBlanks" dxfId="4" priority="3">
      <formula>LEN(TRIM(B6))&gt;0</formula>
    </cfRule>
  </conditionalFormatting>
  <conditionalFormatting sqref="Y6">
    <cfRule type="notContainsBlanks" dxfId="3" priority="2">
      <formula>LEN(TRIM(Y6))&gt;0</formula>
    </cfRule>
  </conditionalFormatting>
  <conditionalFormatting sqref="Y7">
    <cfRule type="notContainsBlanks" dxfId="2" priority="1">
      <formula>LEN(TRIM(Y7))&gt;0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BA3D0-0E0D-483C-BF4D-4F501BB8E038}">
  <sheetPr codeName="Planilha4"/>
  <dimension ref="B1:T7"/>
  <sheetViews>
    <sheetView showGridLines="0" zoomScaleNormal="100" workbookViewId="0">
      <selection activeCell="D5" sqref="D5"/>
    </sheetView>
  </sheetViews>
  <sheetFormatPr defaultRowHeight="15" x14ac:dyDescent="0.25"/>
  <cols>
    <col min="1" max="1" width="26.42578125" customWidth="1"/>
    <col min="2" max="2" width="10.7109375" style="68" customWidth="1"/>
    <col min="3" max="3" width="21.42578125" style="68" customWidth="1"/>
    <col min="4" max="5" width="64.28515625" style="68" customWidth="1"/>
    <col min="6" max="6" width="15" style="68" bestFit="1" customWidth="1"/>
    <col min="7" max="7" width="15.140625" style="68" bestFit="1" customWidth="1"/>
    <col min="8" max="8" width="28.5703125" style="68" customWidth="1"/>
    <col min="9" max="9" width="34.28515625" style="68" bestFit="1" customWidth="1"/>
    <col min="10" max="10" width="31.140625" style="68" bestFit="1" customWidth="1"/>
    <col min="11" max="11" width="14.28515625" style="68" customWidth="1"/>
    <col min="12" max="12" width="28.140625" style="68" customWidth="1"/>
    <col min="13" max="14" width="35.7109375" style="68" customWidth="1"/>
    <col min="15" max="15" width="8.28515625" style="68" bestFit="1" customWidth="1"/>
    <col min="16" max="16" width="35.7109375" style="68" customWidth="1"/>
    <col min="17" max="17" width="25" style="68" bestFit="1" customWidth="1"/>
    <col min="18" max="18" width="25" style="68" customWidth="1"/>
    <col min="19" max="19" width="12.5703125" style="68" customWidth="1"/>
    <col min="20" max="20" width="11.85546875" style="68" customWidth="1"/>
    <col min="21" max="21" width="9.140625" customWidth="1"/>
  </cols>
  <sheetData>
    <row r="1" spans="2:20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2:20" ht="45" customHeight="1" thickBot="1" x14ac:dyDescent="0.3">
      <c r="B2" s="31"/>
      <c r="C2" s="31"/>
      <c r="D2" s="31"/>
      <c r="E2" s="31"/>
      <c r="F2" s="31"/>
      <c r="G2" s="31"/>
      <c r="H2" s="31"/>
      <c r="I2" s="58"/>
      <c r="J2" s="31"/>
      <c r="K2" s="112"/>
      <c r="L2" s="113"/>
      <c r="M2" s="113"/>
      <c r="N2" s="113"/>
      <c r="O2" s="113"/>
      <c r="P2" s="114"/>
      <c r="Q2" s="31"/>
      <c r="R2" s="31"/>
      <c r="S2" s="31"/>
      <c r="T2" s="41"/>
    </row>
    <row r="3" spans="2:20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2:20" ht="30" customHeight="1" thickBot="1" x14ac:dyDescent="0.3">
      <c r="B4" s="24" t="s">
        <v>46</v>
      </c>
      <c r="C4" s="24" t="s">
        <v>61</v>
      </c>
      <c r="D4" s="25" t="s">
        <v>47</v>
      </c>
      <c r="E4" s="25" t="s">
        <v>48</v>
      </c>
      <c r="F4" s="24" t="s">
        <v>49</v>
      </c>
      <c r="G4" s="24" t="s">
        <v>50</v>
      </c>
      <c r="H4" s="24" t="s">
        <v>56</v>
      </c>
      <c r="I4" s="24" t="s">
        <v>157</v>
      </c>
      <c r="J4" s="24" t="s">
        <v>51</v>
      </c>
      <c r="K4" s="24" t="s">
        <v>43</v>
      </c>
      <c r="L4" s="24" t="s">
        <v>39</v>
      </c>
      <c r="M4" s="24" t="s">
        <v>40</v>
      </c>
      <c r="N4" s="24" t="s">
        <v>41</v>
      </c>
      <c r="O4" s="24" t="s">
        <v>42</v>
      </c>
      <c r="P4" s="24" t="s">
        <v>44</v>
      </c>
      <c r="Q4" s="24" t="s">
        <v>52</v>
      </c>
      <c r="R4" s="24" t="s">
        <v>172</v>
      </c>
      <c r="S4" s="24" t="s">
        <v>54</v>
      </c>
      <c r="T4" s="28" t="s">
        <v>55</v>
      </c>
    </row>
    <row r="5" spans="2:20" ht="15" customHeight="1" x14ac:dyDescent="0.25">
      <c r="B5" s="61">
        <v>100</v>
      </c>
      <c r="C5" s="61" t="s">
        <v>125</v>
      </c>
      <c r="D5" s="61" t="s">
        <v>141</v>
      </c>
      <c r="E5" s="61" t="s">
        <v>142</v>
      </c>
      <c r="F5" s="61" t="s">
        <v>128</v>
      </c>
      <c r="G5" s="61" t="s">
        <v>129</v>
      </c>
      <c r="H5" s="61" t="s">
        <v>1</v>
      </c>
      <c r="I5" s="62" t="s">
        <v>158</v>
      </c>
      <c r="J5" s="61" t="s">
        <v>131</v>
      </c>
      <c r="K5" s="71" t="s">
        <v>170</v>
      </c>
      <c r="L5" s="74" t="s">
        <v>132</v>
      </c>
      <c r="M5" s="74" t="s">
        <v>169</v>
      </c>
      <c r="N5" s="77" t="s">
        <v>168</v>
      </c>
      <c r="O5" s="78">
        <v>350</v>
      </c>
      <c r="P5" s="77" t="s">
        <v>110</v>
      </c>
      <c r="Q5" s="74" t="s">
        <v>133</v>
      </c>
      <c r="R5" s="74" t="s">
        <v>173</v>
      </c>
      <c r="S5" s="79"/>
      <c r="T5" s="77"/>
    </row>
    <row r="6" spans="2:20" x14ac:dyDescent="0.25">
      <c r="B6" s="60">
        <v>101</v>
      </c>
      <c r="C6" s="60" t="s">
        <v>140</v>
      </c>
      <c r="D6" s="60" t="s">
        <v>126</v>
      </c>
      <c r="E6" s="60" t="s">
        <v>127</v>
      </c>
      <c r="F6" s="60" t="s">
        <v>128</v>
      </c>
      <c r="G6" s="60" t="s">
        <v>129</v>
      </c>
      <c r="H6" s="60" t="s">
        <v>130</v>
      </c>
      <c r="I6" s="63" t="s">
        <v>159</v>
      </c>
      <c r="J6" s="60" t="s">
        <v>131</v>
      </c>
      <c r="K6" s="72" t="s">
        <v>171</v>
      </c>
      <c r="L6" s="75" t="s">
        <v>132</v>
      </c>
      <c r="M6" s="75" t="s">
        <v>108</v>
      </c>
      <c r="N6" s="75" t="s">
        <v>109</v>
      </c>
      <c r="O6" s="67">
        <v>2077</v>
      </c>
      <c r="P6" s="75" t="s">
        <v>110</v>
      </c>
      <c r="Q6" s="75" t="s">
        <v>133</v>
      </c>
      <c r="R6" s="75" t="s">
        <v>174</v>
      </c>
      <c r="S6" s="75"/>
      <c r="T6" s="77"/>
    </row>
    <row r="7" spans="2:20" x14ac:dyDescent="0.25">
      <c r="B7" s="64">
        <v>102</v>
      </c>
      <c r="C7" s="64" t="s">
        <v>160</v>
      </c>
      <c r="D7" s="64" t="s">
        <v>76</v>
      </c>
      <c r="E7" s="64" t="s">
        <v>161</v>
      </c>
      <c r="F7" s="64" t="s">
        <v>128</v>
      </c>
      <c r="G7" s="64" t="s">
        <v>129</v>
      </c>
      <c r="H7" s="64" t="s">
        <v>75</v>
      </c>
      <c r="I7" s="65" t="s">
        <v>162</v>
      </c>
      <c r="J7" s="64" t="s">
        <v>131</v>
      </c>
      <c r="K7" s="73" t="s">
        <v>167</v>
      </c>
      <c r="L7" s="76" t="s">
        <v>132</v>
      </c>
      <c r="M7" s="75" t="s">
        <v>163</v>
      </c>
      <c r="N7" s="76" t="s">
        <v>166</v>
      </c>
      <c r="O7" s="66">
        <v>40</v>
      </c>
      <c r="P7" s="76" t="s">
        <v>164</v>
      </c>
      <c r="Q7" s="76" t="s">
        <v>165</v>
      </c>
      <c r="R7" s="75" t="s">
        <v>175</v>
      </c>
      <c r="S7" s="75"/>
      <c r="T7" s="75"/>
    </row>
  </sheetData>
  <mergeCells count="1">
    <mergeCell ref="K2:P2"/>
  </mergeCells>
  <phoneticPr fontId="5" type="noConversion"/>
  <conditionalFormatting sqref="B8:T1048576">
    <cfRule type="notContainsBlanks" dxfId="1" priority="2">
      <formula>LEN(TRIM(B8))&gt;0</formula>
    </cfRule>
  </conditionalFormatting>
  <conditionalFormatting sqref="B6:T7">
    <cfRule type="notContainsBlanks" dxfId="0" priority="1">
      <formula>LEN(TRIM(B6))&gt;0</formula>
    </cfRule>
  </conditionalFormatting>
  <hyperlinks>
    <hyperlink ref="I5" r:id="rId1" xr:uid="{D0000043-C6BD-4BD7-972E-B7BAC0B1579A}"/>
    <hyperlink ref="I6" r:id="rId2" xr:uid="{D2AA532C-5F26-47BC-B293-C42064A0A8BC}"/>
    <hyperlink ref="I7" r:id="rId3" xr:uid="{6D1E4CD7-8D90-4DE5-8960-D6930BC66501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0E9CC-6851-4BD4-B9C8-D9CE173CAA96}">
  <sheetPr codeName="Planilha5"/>
  <dimension ref="B1:Q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10.7109375" style="5" customWidth="1"/>
    <col min="3" max="3" width="13.28515625" style="6" bestFit="1" customWidth="1"/>
    <col min="4" max="4" width="10.85546875" style="6" bestFit="1" customWidth="1"/>
    <col min="5" max="5" width="21.42578125" style="5" customWidth="1"/>
    <col min="6" max="7" width="64.28515625" style="5" customWidth="1"/>
    <col min="8" max="8" width="31.140625" style="5" bestFit="1" customWidth="1"/>
    <col min="9" max="9" width="13.28515625" style="22" bestFit="1" customWidth="1"/>
    <col min="10" max="10" width="13" style="5" customWidth="1"/>
    <col min="11" max="11" width="10.7109375" style="5" bestFit="1" customWidth="1"/>
    <col min="12" max="12" width="14" style="5" bestFit="1" customWidth="1"/>
    <col min="13" max="13" width="12.7109375" style="5" bestFit="1" customWidth="1"/>
    <col min="14" max="14" width="13.7109375" style="17" bestFit="1" customWidth="1"/>
    <col min="15" max="15" width="42.5703125" style="5" bestFit="1" customWidth="1"/>
    <col min="16" max="16" width="16" style="7" bestFit="1" customWidth="1"/>
    <col min="17" max="17" width="12.5703125" style="5" customWidth="1"/>
    <col min="20" max="20" width="0" hidden="1" customWidth="1"/>
  </cols>
  <sheetData>
    <row r="1" spans="2:17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2:17" ht="45" customHeight="1" thickBot="1" x14ac:dyDescent="0.3">
      <c r="B2" s="112"/>
      <c r="C2" s="114"/>
      <c r="D2" s="31"/>
      <c r="E2" s="112"/>
      <c r="F2" s="113"/>
      <c r="G2" s="114"/>
      <c r="H2" s="31"/>
      <c r="I2" s="31"/>
      <c r="J2"/>
      <c r="K2"/>
      <c r="L2"/>
      <c r="M2"/>
      <c r="N2"/>
      <c r="O2"/>
      <c r="P2"/>
      <c r="Q2"/>
    </row>
    <row r="3" spans="2:17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2:17" ht="30" customHeight="1" thickBot="1" x14ac:dyDescent="0.3">
      <c r="B4" s="24" t="s">
        <v>57</v>
      </c>
      <c r="C4" s="25" t="s">
        <v>58</v>
      </c>
      <c r="D4" s="25" t="s">
        <v>59</v>
      </c>
      <c r="E4" s="24" t="s">
        <v>61</v>
      </c>
      <c r="F4" s="24" t="s">
        <v>60</v>
      </c>
      <c r="G4" s="24" t="s">
        <v>48</v>
      </c>
      <c r="H4" s="24" t="s">
        <v>64</v>
      </c>
      <c r="I4" s="24" t="s">
        <v>63</v>
      </c>
      <c r="J4"/>
      <c r="K4"/>
      <c r="L4"/>
      <c r="M4"/>
      <c r="N4"/>
      <c r="O4"/>
      <c r="P4"/>
      <c r="Q4"/>
    </row>
    <row r="5" spans="2:17" ht="15" customHeight="1" x14ac:dyDescent="0.25">
      <c r="B5" s="1">
        <v>3</v>
      </c>
      <c r="C5" s="1">
        <v>5</v>
      </c>
      <c r="D5" s="1">
        <v>1</v>
      </c>
      <c r="E5" s="1" t="str">
        <f>Clientes!$C$6</f>
        <v>000.000.000/0000-01</v>
      </c>
      <c r="F5" s="1" t="str">
        <f>Clientes!$D$6</f>
        <v>SENAC - Serviço Nacional de Aprendizagem Comercial</v>
      </c>
      <c r="G5" s="1" t="str">
        <f>Clientes!$E$6</f>
        <v>SENAC</v>
      </c>
      <c r="H5" s="1" t="s">
        <v>145</v>
      </c>
      <c r="I5" s="46">
        <v>535252</v>
      </c>
      <c r="J5"/>
      <c r="K5"/>
      <c r="L5"/>
      <c r="M5"/>
      <c r="N5"/>
      <c r="O5"/>
      <c r="P5"/>
      <c r="Q5"/>
    </row>
    <row r="6" spans="2:17" x14ac:dyDescent="0.25">
      <c r="B6" s="11">
        <v>3</v>
      </c>
      <c r="C6" s="11">
        <v>5</v>
      </c>
      <c r="D6" s="11">
        <v>1</v>
      </c>
      <c r="E6" s="11" t="str">
        <f>Clientes!$C$6</f>
        <v>000.000.000/0000-01</v>
      </c>
      <c r="F6" s="11" t="str">
        <f>Clientes!$D$6</f>
        <v>SENAC - Serviço Nacional de Aprendizagem Comercial</v>
      </c>
      <c r="G6" s="11" t="str">
        <f>Clientes!$E$6</f>
        <v>SENAC</v>
      </c>
      <c r="H6" s="11" t="s">
        <v>144</v>
      </c>
      <c r="I6" s="47">
        <v>535253</v>
      </c>
      <c r="J6"/>
      <c r="K6"/>
      <c r="L6"/>
      <c r="M6"/>
      <c r="N6"/>
      <c r="O6"/>
      <c r="P6"/>
      <c r="Q6"/>
    </row>
    <row r="7" spans="2:17" x14ac:dyDescent="0.25">
      <c r="B7" s="11">
        <v>3</v>
      </c>
      <c r="C7" s="11">
        <v>5</v>
      </c>
      <c r="D7" s="11">
        <v>1</v>
      </c>
      <c r="E7" s="11" t="str">
        <f>Clientes!$C$6</f>
        <v>000.000.000/0000-01</v>
      </c>
      <c r="F7" s="11" t="str">
        <f>Clientes!$D$6</f>
        <v>SENAC - Serviço Nacional de Aprendizagem Comercial</v>
      </c>
      <c r="G7" s="11" t="str">
        <f>Clientes!$E$6</f>
        <v>SENAC</v>
      </c>
      <c r="H7" s="11" t="s">
        <v>146</v>
      </c>
      <c r="I7" s="47">
        <v>535254</v>
      </c>
      <c r="J7"/>
      <c r="K7"/>
      <c r="L7"/>
      <c r="M7"/>
      <c r="N7"/>
      <c r="O7"/>
      <c r="P7"/>
      <c r="Q7"/>
    </row>
    <row r="8" spans="2:17" x14ac:dyDescent="0.25">
      <c r="B8" s="4"/>
      <c r="C8" s="4"/>
      <c r="D8" s="4"/>
      <c r="E8" s="4"/>
      <c r="F8" s="4"/>
      <c r="G8" s="4"/>
      <c r="H8" s="4"/>
      <c r="I8" s="13"/>
      <c r="J8"/>
      <c r="K8"/>
      <c r="L8"/>
      <c r="M8"/>
      <c r="N8"/>
      <c r="O8"/>
      <c r="P8"/>
      <c r="Q8"/>
    </row>
    <row r="9" spans="2:17" x14ac:dyDescent="0.25">
      <c r="B9" s="11"/>
      <c r="C9" s="12"/>
      <c r="D9" s="12"/>
      <c r="E9" s="11"/>
      <c r="F9" s="11"/>
      <c r="G9" s="11"/>
      <c r="H9" s="11"/>
      <c r="I9" s="13"/>
      <c r="J9"/>
      <c r="K9"/>
      <c r="L9"/>
      <c r="M9"/>
      <c r="N9"/>
      <c r="O9"/>
      <c r="P9"/>
      <c r="Q9"/>
    </row>
    <row r="10" spans="2:17" x14ac:dyDescent="0.25">
      <c r="J10" s="14"/>
      <c r="P10" s="5"/>
      <c r="Q10" s="14"/>
    </row>
    <row r="11" spans="2:17" x14ac:dyDescent="0.25">
      <c r="J11" s="14"/>
      <c r="P11" s="5"/>
      <c r="Q11" s="14"/>
    </row>
    <row r="13" spans="2:17" x14ac:dyDescent="0.25">
      <c r="B13"/>
      <c r="C13"/>
      <c r="D13"/>
      <c r="E13" s="10"/>
      <c r="F13"/>
      <c r="G13"/>
      <c r="H13"/>
      <c r="I13" s="23"/>
      <c r="J13"/>
      <c r="K13"/>
      <c r="L13"/>
      <c r="M13"/>
      <c r="N13" s="18"/>
      <c r="O13"/>
      <c r="P13"/>
      <c r="Q13"/>
    </row>
    <row r="14" spans="2:17" x14ac:dyDescent="0.25">
      <c r="B14"/>
      <c r="C14"/>
      <c r="D14"/>
      <c r="E14"/>
      <c r="F14"/>
      <c r="G14"/>
      <c r="H14"/>
      <c r="I14" s="23"/>
      <c r="J14"/>
      <c r="K14"/>
      <c r="L14"/>
      <c r="M14"/>
      <c r="N14" s="18"/>
      <c r="O14"/>
      <c r="P14"/>
      <c r="Q14"/>
    </row>
    <row r="15" spans="2:17" x14ac:dyDescent="0.25">
      <c r="C15" s="6" t="s">
        <v>25</v>
      </c>
    </row>
  </sheetData>
  <mergeCells count="2">
    <mergeCell ref="B2:C2"/>
    <mergeCell ref="E2:G2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6F7CB-3B6C-40DF-938E-AC4B5478F6B1}">
  <sheetPr codeName="Planilha6"/>
  <dimension ref="B1:U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10.7109375" style="106" customWidth="1"/>
    <col min="3" max="3" width="8.5703125" style="108" customWidth="1"/>
    <col min="4" max="4" width="21.42578125" style="6" customWidth="1"/>
    <col min="5" max="5" width="57.140625" style="5" customWidth="1"/>
    <col min="6" max="6" width="51.85546875" style="106" bestFit="1" customWidth="1"/>
    <col min="7" max="7" width="17.28515625" style="106" customWidth="1"/>
    <col min="8" max="8" width="31.140625" style="106" bestFit="1" customWidth="1"/>
    <col min="9" max="9" width="15.140625" style="22" bestFit="1" customWidth="1"/>
    <col min="10" max="10" width="13" style="106" customWidth="1"/>
    <col min="11" max="11" width="10.7109375" style="5" bestFit="1" customWidth="1"/>
    <col min="12" max="12" width="20.85546875" style="101" bestFit="1" customWidth="1"/>
    <col min="13" max="13" width="20.85546875" style="5" customWidth="1"/>
    <col min="14" max="14" width="7.42578125" style="5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thickBot="1" x14ac:dyDescent="0.3">
      <c r="C1" s="106"/>
      <c r="D1" s="5"/>
      <c r="I1" s="5"/>
      <c r="O1"/>
      <c r="P1"/>
      <c r="Q1"/>
      <c r="R1"/>
    </row>
    <row r="2" spans="2:21" ht="45" customHeight="1" thickBot="1" x14ac:dyDescent="0.3">
      <c r="B2" s="107"/>
      <c r="C2" s="107"/>
      <c r="D2" s="31"/>
      <c r="E2" s="31"/>
      <c r="F2" s="107"/>
      <c r="G2" s="107"/>
      <c r="H2" s="107"/>
      <c r="I2" s="31"/>
      <c r="J2" s="107"/>
      <c r="K2" s="31"/>
      <c r="L2" s="112"/>
      <c r="M2" s="114"/>
      <c r="N2"/>
      <c r="O2"/>
      <c r="P2"/>
      <c r="Q2"/>
      <c r="R2"/>
    </row>
    <row r="3" spans="2:21" ht="15.75" thickBot="1" x14ac:dyDescent="0.3">
      <c r="C3" s="106"/>
      <c r="D3" s="5"/>
      <c r="I3" s="5"/>
      <c r="O3"/>
      <c r="P3"/>
      <c r="Q3"/>
      <c r="R3"/>
    </row>
    <row r="4" spans="2:21" s="5" customFormat="1" ht="30" customHeight="1" thickBot="1" x14ac:dyDescent="0.3">
      <c r="B4" s="24" t="s">
        <v>65</v>
      </c>
      <c r="C4" s="25" t="s">
        <v>66</v>
      </c>
      <c r="D4" s="24" t="s">
        <v>67</v>
      </c>
      <c r="E4" s="24" t="s">
        <v>47</v>
      </c>
      <c r="F4" s="24" t="s">
        <v>68</v>
      </c>
      <c r="G4" s="24" t="s">
        <v>69</v>
      </c>
      <c r="H4" s="24" t="s">
        <v>70</v>
      </c>
      <c r="I4" s="26" t="s">
        <v>0</v>
      </c>
      <c r="J4" s="24" t="s">
        <v>71</v>
      </c>
      <c r="K4" s="24" t="s">
        <v>72</v>
      </c>
      <c r="L4" s="111" t="s">
        <v>73</v>
      </c>
      <c r="M4" s="24" t="s">
        <v>200</v>
      </c>
      <c r="N4"/>
    </row>
    <row r="5" spans="2:21" ht="15" customHeight="1" x14ac:dyDescent="0.25">
      <c r="B5" s="35">
        <v>10000</v>
      </c>
      <c r="C5" s="35">
        <v>1001</v>
      </c>
      <c r="D5" s="35" t="s">
        <v>195</v>
      </c>
      <c r="E5" s="35" t="s">
        <v>141</v>
      </c>
      <c r="F5" s="35" t="s">
        <v>180</v>
      </c>
      <c r="G5" s="35" t="s">
        <v>187</v>
      </c>
      <c r="H5" s="35" t="s">
        <v>11</v>
      </c>
      <c r="I5" s="35" t="s">
        <v>2</v>
      </c>
      <c r="J5" s="35" t="s">
        <v>201</v>
      </c>
      <c r="K5" s="35" t="s">
        <v>1</v>
      </c>
      <c r="L5" s="109">
        <v>44397</v>
      </c>
      <c r="M5" s="110">
        <v>0.71614583333333337</v>
      </c>
      <c r="N5"/>
      <c r="O5"/>
      <c r="P5"/>
      <c r="Q5"/>
      <c r="R5"/>
    </row>
    <row r="6" spans="2:21" x14ac:dyDescent="0.25">
      <c r="C6" s="106"/>
      <c r="D6"/>
      <c r="E6"/>
      <c r="I6" s="5"/>
      <c r="M6"/>
      <c r="O6"/>
      <c r="P6"/>
      <c r="Q6"/>
      <c r="R6"/>
    </row>
    <row r="7" spans="2:21" x14ac:dyDescent="0.25">
      <c r="C7" s="106"/>
      <c r="D7"/>
      <c r="E7"/>
      <c r="I7" s="5"/>
      <c r="M7"/>
      <c r="O7"/>
      <c r="P7"/>
      <c r="Q7"/>
      <c r="R7"/>
    </row>
    <row r="8" spans="2:21" x14ac:dyDescent="0.25">
      <c r="C8" s="106"/>
      <c r="D8"/>
      <c r="E8"/>
      <c r="I8" s="5"/>
      <c r="M8"/>
      <c r="O8"/>
      <c r="P8"/>
      <c r="Q8"/>
      <c r="R8"/>
    </row>
    <row r="9" spans="2:21" x14ac:dyDescent="0.25">
      <c r="C9" s="106"/>
      <c r="D9"/>
      <c r="E9"/>
      <c r="I9" s="5"/>
      <c r="M9"/>
      <c r="O9"/>
      <c r="P9"/>
      <c r="Q9"/>
      <c r="R9"/>
    </row>
    <row r="10" spans="2:21" x14ac:dyDescent="0.25">
      <c r="C10" s="106"/>
      <c r="D10"/>
      <c r="E10"/>
      <c r="I10" s="5"/>
      <c r="M10"/>
      <c r="Q10" s="5"/>
      <c r="R10" s="14"/>
    </row>
    <row r="11" spans="2:21" x14ac:dyDescent="0.25">
      <c r="C11" s="106"/>
      <c r="D11"/>
      <c r="E11"/>
      <c r="I11" s="5"/>
      <c r="M11"/>
      <c r="Q11" s="5"/>
      <c r="R11" s="14"/>
    </row>
    <row r="13" spans="2:21" x14ac:dyDescent="0.25">
      <c r="C13" s="106"/>
      <c r="D13" s="5"/>
      <c r="E13" s="105"/>
      <c r="O13" s="18"/>
      <c r="P13"/>
      <c r="Q13"/>
      <c r="R13"/>
    </row>
    <row r="14" spans="2:21" x14ac:dyDescent="0.25">
      <c r="C14" s="106"/>
      <c r="D14" s="5"/>
      <c r="O14" s="18"/>
      <c r="P14"/>
      <c r="Q14"/>
      <c r="R14"/>
    </row>
    <row r="15" spans="2:21" s="6" customFormat="1" x14ac:dyDescent="0.25">
      <c r="B15" s="106"/>
      <c r="C15" s="108" t="s">
        <v>25</v>
      </c>
      <c r="E15" s="5"/>
      <c r="F15" s="106"/>
      <c r="G15" s="106"/>
      <c r="H15" s="106"/>
      <c r="I15" s="22"/>
      <c r="J15" s="106"/>
      <c r="K15" s="5"/>
      <c r="L15" s="101"/>
      <c r="M15" s="5"/>
      <c r="N15" s="5"/>
      <c r="O15" s="17"/>
      <c r="P15" s="5"/>
      <c r="Q15" s="7"/>
      <c r="R15" s="5"/>
      <c r="S15"/>
      <c r="T15"/>
      <c r="U15"/>
    </row>
  </sheetData>
  <mergeCells count="1">
    <mergeCell ref="L2:M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7D05D-9431-409C-B442-5B06D884BBDC}">
  <sheetPr codeName="Planilha7"/>
  <dimension ref="B1:U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46.7109375" style="5" customWidth="1"/>
    <col min="3" max="3" width="13.28515625" style="6" bestFit="1" customWidth="1"/>
    <col min="4" max="4" width="12.140625" style="6" bestFit="1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thickBot="1" x14ac:dyDescent="0.3">
      <c r="B2" s="31"/>
      <c r="C2" s="31"/>
      <c r="D2" s="31"/>
      <c r="E2" s="31"/>
      <c r="F2" s="32"/>
      <c r="G2" s="41"/>
      <c r="H2"/>
      <c r="I2"/>
      <c r="J2"/>
      <c r="K2"/>
      <c r="L2"/>
      <c r="M2"/>
      <c r="N2"/>
      <c r="O2"/>
      <c r="P2"/>
      <c r="Q2"/>
      <c r="R2"/>
    </row>
    <row r="3" spans="2:21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30" customHeight="1" thickBot="1" x14ac:dyDescent="0.3">
      <c r="B4" s="24" t="s">
        <v>77</v>
      </c>
      <c r="C4" s="25" t="s">
        <v>78</v>
      </c>
      <c r="D4" s="25" t="s">
        <v>82</v>
      </c>
      <c r="E4" s="24" t="s">
        <v>79</v>
      </c>
      <c r="F4" s="24" t="s">
        <v>81</v>
      </c>
      <c r="G4" s="24" t="s">
        <v>80</v>
      </c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s="34" t="s">
        <v>101</v>
      </c>
      <c r="C5" s="1">
        <v>0</v>
      </c>
      <c r="D5" s="43">
        <v>1250</v>
      </c>
      <c r="E5" s="40">
        <v>3</v>
      </c>
      <c r="F5" s="44">
        <f>D5*E5</f>
        <v>3750</v>
      </c>
      <c r="G5" s="40" t="s">
        <v>143</v>
      </c>
      <c r="H5"/>
      <c r="I5"/>
      <c r="J5"/>
      <c r="K5"/>
      <c r="L5"/>
      <c r="M5"/>
      <c r="N5"/>
      <c r="O5"/>
      <c r="P5"/>
      <c r="Q5"/>
      <c r="R5"/>
    </row>
    <row r="6" spans="2:21" x14ac:dyDescent="0.25">
      <c r="B6" s="11" t="s">
        <v>121</v>
      </c>
      <c r="C6" s="2">
        <v>0</v>
      </c>
      <c r="D6" s="19">
        <v>1200</v>
      </c>
      <c r="E6" s="2">
        <v>2</v>
      </c>
      <c r="F6" s="45">
        <f t="shared" ref="F6:F9" si="0">D6*E6</f>
        <v>2400</v>
      </c>
      <c r="G6" s="11" t="s">
        <v>143</v>
      </c>
      <c r="H6"/>
      <c r="I6"/>
      <c r="J6"/>
      <c r="K6"/>
      <c r="L6"/>
      <c r="M6"/>
      <c r="N6"/>
      <c r="O6"/>
      <c r="P6"/>
      <c r="Q6"/>
      <c r="R6"/>
    </row>
    <row r="7" spans="2:21" x14ac:dyDescent="0.25">
      <c r="B7" s="3" t="s">
        <v>122</v>
      </c>
      <c r="C7" s="3">
        <v>0</v>
      </c>
      <c r="D7" s="20">
        <v>478</v>
      </c>
      <c r="E7" s="2">
        <v>5</v>
      </c>
      <c r="F7" s="45">
        <f t="shared" si="0"/>
        <v>2390</v>
      </c>
      <c r="G7" s="11" t="s">
        <v>143</v>
      </c>
      <c r="H7"/>
      <c r="I7"/>
      <c r="J7"/>
      <c r="K7"/>
      <c r="L7"/>
      <c r="M7"/>
      <c r="N7"/>
      <c r="O7"/>
      <c r="P7"/>
      <c r="Q7"/>
      <c r="R7"/>
    </row>
    <row r="8" spans="2:21" x14ac:dyDescent="0.25">
      <c r="B8" s="4" t="s">
        <v>99</v>
      </c>
      <c r="C8" s="4">
        <v>0</v>
      </c>
      <c r="D8" s="21">
        <v>320</v>
      </c>
      <c r="E8" s="11">
        <v>2</v>
      </c>
      <c r="F8" s="45">
        <f t="shared" si="0"/>
        <v>640</v>
      </c>
      <c r="G8" s="11" t="s">
        <v>143</v>
      </c>
      <c r="H8"/>
      <c r="I8"/>
      <c r="J8"/>
      <c r="K8"/>
      <c r="L8"/>
      <c r="M8"/>
      <c r="N8"/>
      <c r="O8"/>
      <c r="P8"/>
      <c r="Q8"/>
      <c r="R8"/>
    </row>
    <row r="9" spans="2:21" x14ac:dyDescent="0.25">
      <c r="B9" s="11" t="s">
        <v>98</v>
      </c>
      <c r="C9" s="16">
        <v>0</v>
      </c>
      <c r="D9" s="13">
        <v>430</v>
      </c>
      <c r="E9" s="11">
        <v>3</v>
      </c>
      <c r="F9" s="45">
        <f t="shared" si="0"/>
        <v>1290</v>
      </c>
      <c r="G9" s="11" t="s">
        <v>143</v>
      </c>
      <c r="H9"/>
      <c r="I9"/>
      <c r="J9"/>
      <c r="K9"/>
      <c r="L9"/>
      <c r="M9"/>
      <c r="N9"/>
      <c r="O9"/>
      <c r="P9"/>
      <c r="Q9"/>
      <c r="R9"/>
    </row>
    <row r="10" spans="2:21" x14ac:dyDescent="0.25">
      <c r="K10" s="14"/>
      <c r="Q10" s="5"/>
      <c r="R10" s="14"/>
    </row>
    <row r="11" spans="2:21" x14ac:dyDescent="0.25">
      <c r="K11" s="14"/>
      <c r="Q11" s="5"/>
      <c r="R11" s="14"/>
    </row>
    <row r="13" spans="2:21" x14ac:dyDescent="0.25">
      <c r="B13"/>
      <c r="C13"/>
      <c r="D13"/>
      <c r="E13" s="10"/>
      <c r="F13" s="10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 s="5"/>
      <c r="C15" s="6" t="s">
        <v>25</v>
      </c>
      <c r="E15" s="5"/>
      <c r="F15" s="5"/>
      <c r="G15" s="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2AF27-2703-4B84-9BE6-66B1D8816C06}">
  <sheetPr codeName="Planilha8"/>
  <dimension ref="B1:V16"/>
  <sheetViews>
    <sheetView showGridLines="0" zoomScaleNormal="100" workbookViewId="0">
      <selection activeCell="C10" sqref="C10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25.28515625" style="5" bestFit="1" customWidth="1"/>
    <col min="8" max="8" width="16.42578125" style="5" bestFit="1" customWidth="1"/>
    <col min="9" max="9" width="9.140625" style="5" customWidth="1"/>
    <col min="10" max="10" width="31.140625" style="5" bestFit="1" customWidth="1"/>
    <col min="11" max="11" width="13.28515625" style="22" bestFit="1" customWidth="1"/>
    <col min="12" max="12" width="13" style="5" customWidth="1"/>
    <col min="13" max="13" width="10.7109375" style="5" bestFit="1" customWidth="1"/>
    <col min="14" max="14" width="14" style="5" bestFit="1" customWidth="1"/>
    <col min="15" max="15" width="12.7109375" style="5" bestFit="1" customWidth="1"/>
    <col min="16" max="16" width="13.7109375" style="17" bestFit="1" customWidth="1"/>
    <col min="17" max="17" width="42.5703125" style="5" bestFit="1" customWidth="1"/>
    <col min="18" max="18" width="16" style="7" bestFit="1" customWidth="1"/>
    <col min="19" max="19" width="12.5703125" style="5" customWidth="1"/>
    <col min="22" max="22" width="0" hidden="1" customWidth="1"/>
  </cols>
  <sheetData>
    <row r="1" spans="2:22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2:22" ht="45" customHeight="1" thickBot="1" x14ac:dyDescent="0.3">
      <c r="B2" s="118" t="s">
        <v>147</v>
      </c>
      <c r="C2" s="119"/>
      <c r="D2" s="120"/>
      <c r="E2"/>
      <c r="F2" s="118" t="s">
        <v>182</v>
      </c>
      <c r="G2" s="119"/>
      <c r="H2" s="120"/>
      <c r="I2"/>
      <c r="J2"/>
      <c r="K2"/>
      <c r="L2"/>
      <c r="M2"/>
      <c r="N2"/>
      <c r="O2"/>
      <c r="P2"/>
      <c r="Q2"/>
      <c r="R2"/>
      <c r="S2"/>
    </row>
    <row r="3" spans="2:22" ht="15" customHeight="1" thickBot="1" x14ac:dyDescent="0.3">
      <c r="B3" s="53" t="s">
        <v>148</v>
      </c>
      <c r="C3" s="53" t="s">
        <v>6</v>
      </c>
      <c r="D3" s="53" t="s">
        <v>10</v>
      </c>
      <c r="E3" s="93"/>
      <c r="F3" s="102" t="s">
        <v>67</v>
      </c>
      <c r="G3" s="100" t="s">
        <v>68</v>
      </c>
      <c r="H3" s="100" t="s">
        <v>69</v>
      </c>
      <c r="I3" s="92"/>
      <c r="J3" s="54"/>
      <c r="L3"/>
      <c r="M3"/>
      <c r="N3"/>
      <c r="O3"/>
      <c r="P3"/>
      <c r="Q3"/>
      <c r="R3"/>
      <c r="S3"/>
    </row>
    <row r="4" spans="2:22" ht="15" customHeight="1" x14ac:dyDescent="0.25">
      <c r="B4" s="35" t="s">
        <v>14</v>
      </c>
      <c r="C4" s="121" t="s">
        <v>85</v>
      </c>
      <c r="D4" s="35" t="s">
        <v>149</v>
      </c>
      <c r="E4"/>
      <c r="F4" s="35" t="s">
        <v>195</v>
      </c>
      <c r="G4" s="103" t="s">
        <v>180</v>
      </c>
      <c r="H4" s="99" t="s">
        <v>185</v>
      </c>
      <c r="I4"/>
      <c r="L4"/>
      <c r="M4"/>
      <c r="N4"/>
      <c r="O4"/>
      <c r="P4"/>
      <c r="Q4"/>
      <c r="R4"/>
      <c r="S4"/>
    </row>
    <row r="5" spans="2:22" ht="15" customHeight="1" x14ac:dyDescent="0.25">
      <c r="B5" s="33" t="s">
        <v>150</v>
      </c>
      <c r="C5" s="122"/>
      <c r="D5" s="33" t="s">
        <v>151</v>
      </c>
      <c r="E5"/>
      <c r="F5" s="33" t="s">
        <v>196</v>
      </c>
      <c r="G5" s="104" t="s">
        <v>184</v>
      </c>
      <c r="H5" s="95" t="s">
        <v>186</v>
      </c>
      <c r="I5"/>
      <c r="L5"/>
      <c r="M5"/>
      <c r="N5"/>
      <c r="O5"/>
      <c r="P5"/>
      <c r="Q5"/>
      <c r="R5"/>
      <c r="S5"/>
    </row>
    <row r="6" spans="2:22" ht="15" customHeight="1" x14ac:dyDescent="0.25">
      <c r="B6"/>
      <c r="C6" s="122" t="s">
        <v>12</v>
      </c>
      <c r="D6" s="33" t="s">
        <v>152</v>
      </c>
      <c r="E6"/>
      <c r="F6" s="33" t="s">
        <v>197</v>
      </c>
      <c r="G6" s="91" t="s">
        <v>179</v>
      </c>
      <c r="H6" s="95" t="s">
        <v>187</v>
      </c>
      <c r="I6"/>
      <c r="L6"/>
      <c r="M6"/>
      <c r="N6"/>
      <c r="O6"/>
      <c r="P6"/>
      <c r="Q6"/>
      <c r="R6"/>
      <c r="S6"/>
    </row>
    <row r="7" spans="2:22" ht="15" customHeight="1" x14ac:dyDescent="0.25">
      <c r="B7"/>
      <c r="C7" s="122"/>
      <c r="D7" s="33" t="s">
        <v>153</v>
      </c>
      <c r="E7"/>
      <c r="F7" s="33" t="s">
        <v>198</v>
      </c>
      <c r="G7" s="90" t="s">
        <v>181</v>
      </c>
      <c r="H7" s="96" t="s">
        <v>188</v>
      </c>
      <c r="I7"/>
      <c r="J7"/>
      <c r="K7"/>
      <c r="L7"/>
      <c r="M7"/>
      <c r="N7"/>
      <c r="O7"/>
      <c r="P7"/>
      <c r="Q7"/>
      <c r="R7"/>
      <c r="S7"/>
    </row>
    <row r="8" spans="2:22" ht="15" customHeight="1" x14ac:dyDescent="0.25">
      <c r="B8"/>
      <c r="C8" s="122"/>
      <c r="D8" s="33" t="s">
        <v>20</v>
      </c>
      <c r="E8"/>
      <c r="F8" s="33" t="s">
        <v>199</v>
      </c>
      <c r="G8"/>
      <c r="H8" s="95" t="s">
        <v>183</v>
      </c>
      <c r="I8"/>
      <c r="J8"/>
      <c r="K8"/>
      <c r="L8"/>
      <c r="M8"/>
      <c r="N8"/>
      <c r="O8"/>
      <c r="P8"/>
      <c r="Q8"/>
      <c r="R8"/>
      <c r="S8"/>
    </row>
    <row r="9" spans="2:22" ht="15" customHeight="1" x14ac:dyDescent="0.25">
      <c r="B9"/>
      <c r="C9" s="33" t="s">
        <v>154</v>
      </c>
      <c r="D9" s="33" t="s">
        <v>155</v>
      </c>
      <c r="E9"/>
      <c r="F9"/>
      <c r="G9" s="94"/>
      <c r="H9" s="97" t="s">
        <v>189</v>
      </c>
      <c r="I9"/>
      <c r="J9"/>
      <c r="K9"/>
      <c r="L9"/>
      <c r="M9"/>
      <c r="N9"/>
      <c r="O9"/>
      <c r="P9"/>
      <c r="Q9"/>
      <c r="R9"/>
      <c r="S9"/>
    </row>
    <row r="10" spans="2:22" ht="15" customHeight="1" x14ac:dyDescent="0.25">
      <c r="B10"/>
      <c r="C10"/>
      <c r="D10"/>
      <c r="E10"/>
      <c r="F10"/>
      <c r="G10"/>
      <c r="H10" s="95" t="s">
        <v>190</v>
      </c>
      <c r="L10" s="14"/>
      <c r="R10" s="5"/>
      <c r="S10" s="14"/>
    </row>
    <row r="11" spans="2:22" x14ac:dyDescent="0.25">
      <c r="B11"/>
      <c r="C11"/>
      <c r="D11"/>
      <c r="E11"/>
      <c r="F11"/>
      <c r="G11"/>
      <c r="H11" s="95" t="s">
        <v>191</v>
      </c>
      <c r="L11" s="14"/>
      <c r="R11" s="5"/>
      <c r="S11" s="14"/>
    </row>
    <row r="12" spans="2:22" x14ac:dyDescent="0.25">
      <c r="B12"/>
      <c r="C12"/>
      <c r="D12"/>
      <c r="E12"/>
      <c r="F12"/>
      <c r="G12"/>
      <c r="H12" s="95" t="s">
        <v>192</v>
      </c>
    </row>
    <row r="13" spans="2:22" x14ac:dyDescent="0.25">
      <c r="B13"/>
      <c r="C13"/>
      <c r="D13"/>
      <c r="E13"/>
      <c r="F13"/>
      <c r="G13" s="94"/>
      <c r="H13" s="98" t="s">
        <v>193</v>
      </c>
      <c r="I13"/>
      <c r="J13"/>
      <c r="K13" s="23"/>
      <c r="L13"/>
      <c r="M13"/>
      <c r="N13"/>
      <c r="O13"/>
      <c r="P13" s="18"/>
      <c r="Q13"/>
      <c r="R13"/>
      <c r="S13"/>
    </row>
    <row r="14" spans="2:22" x14ac:dyDescent="0.25">
      <c r="B14"/>
      <c r="C14"/>
      <c r="D14"/>
      <c r="E14"/>
      <c r="F14"/>
      <c r="G14"/>
      <c r="H14" s="95" t="s">
        <v>194</v>
      </c>
      <c r="I14"/>
      <c r="J14"/>
      <c r="K14" s="23"/>
      <c r="L14"/>
      <c r="M14"/>
      <c r="N14"/>
      <c r="O14"/>
      <c r="P14" s="18"/>
      <c r="Q14"/>
      <c r="R14"/>
      <c r="S14"/>
    </row>
    <row r="15" spans="2:22" s="6" customFormat="1" x14ac:dyDescent="0.25">
      <c r="B15"/>
      <c r="C15"/>
      <c r="D15"/>
      <c r="E15"/>
      <c r="F15"/>
      <c r="G15"/>
      <c r="H15"/>
      <c r="I15" s="5"/>
      <c r="J15" s="5"/>
      <c r="K15" s="22"/>
      <c r="L15" s="5"/>
      <c r="M15" s="5"/>
      <c r="N15" s="5"/>
      <c r="O15" s="5"/>
      <c r="P15" s="17"/>
      <c r="Q15" s="5"/>
      <c r="R15" s="7"/>
      <c r="S15" s="5"/>
      <c r="T15"/>
      <c r="U15"/>
      <c r="V15"/>
    </row>
    <row r="16" spans="2:22" x14ac:dyDescent="0.25">
      <c r="B16"/>
      <c r="C16"/>
      <c r="D16"/>
      <c r="E16"/>
      <c r="F16"/>
      <c r="G16"/>
      <c r="H16"/>
    </row>
  </sheetData>
  <sortState xmlns:xlrd2="http://schemas.microsoft.com/office/spreadsheetml/2017/richdata2" ref="G4:G7">
    <sortCondition ref="G7"/>
  </sortState>
  <mergeCells count="4">
    <mergeCell ref="F2:H2"/>
    <mergeCell ref="B2:D2"/>
    <mergeCell ref="C4:C5"/>
    <mergeCell ref="C6:C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D367E-9915-4B37-B29E-4500B49AD492}">
  <sheetPr codeName="Planilha9"/>
  <dimension ref="B1:U16"/>
  <sheetViews>
    <sheetView showGridLines="0" zoomScaleNormal="100" workbookViewId="0">
      <selection activeCell="B3" sqref="B3:L3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x14ac:dyDescent="0.25">
      <c r="B2" t="s">
        <v>65</v>
      </c>
      <c r="C2" t="s">
        <v>66</v>
      </c>
      <c r="D2" t="s">
        <v>67</v>
      </c>
      <c r="E2" t="s">
        <v>47</v>
      </c>
      <c r="F2" t="s">
        <v>68</v>
      </c>
      <c r="G2" t="s">
        <v>69</v>
      </c>
      <c r="H2" t="s">
        <v>70</v>
      </c>
      <c r="I2" t="s">
        <v>0</v>
      </c>
      <c r="J2" t="s">
        <v>71</v>
      </c>
      <c r="K2" t="s">
        <v>72</v>
      </c>
      <c r="L2" t="s">
        <v>73</v>
      </c>
      <c r="M2"/>
      <c r="N2"/>
      <c r="O2"/>
      <c r="P2"/>
      <c r="Q2"/>
      <c r="R2"/>
    </row>
    <row r="3" spans="2:21" ht="15" customHeight="1" x14ac:dyDescent="0.25">
      <c r="B3"/>
      <c r="C3">
        <v>1001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15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t="s">
        <v>65</v>
      </c>
      <c r="C5" t="s">
        <v>66</v>
      </c>
      <c r="D5" t="s">
        <v>67</v>
      </c>
      <c r="E5" t="s">
        <v>47</v>
      </c>
      <c r="F5" t="s">
        <v>68</v>
      </c>
      <c r="G5" t="s">
        <v>69</v>
      </c>
      <c r="H5" t="s">
        <v>70</v>
      </c>
      <c r="I5" t="s">
        <v>0</v>
      </c>
      <c r="J5" t="s">
        <v>71</v>
      </c>
      <c r="K5" t="s">
        <v>72</v>
      </c>
      <c r="L5" t="s">
        <v>73</v>
      </c>
      <c r="M5"/>
      <c r="N5"/>
      <c r="O5"/>
      <c r="P5"/>
      <c r="Q5"/>
      <c r="R5"/>
    </row>
    <row r="6" spans="2:21" ht="15" customHeight="1" x14ac:dyDescent="0.25">
      <c r="B6" s="35">
        <v>10000</v>
      </c>
      <c r="C6" s="35">
        <v>1001</v>
      </c>
      <c r="D6" s="35" t="s">
        <v>195</v>
      </c>
      <c r="E6" s="35" t="s">
        <v>141</v>
      </c>
      <c r="F6" s="35" t="s">
        <v>180</v>
      </c>
      <c r="G6" s="35" t="s">
        <v>187</v>
      </c>
      <c r="H6" s="35" t="s">
        <v>11</v>
      </c>
      <c r="I6" s="35" t="s">
        <v>2</v>
      </c>
      <c r="J6" s="35" t="s">
        <v>201</v>
      </c>
      <c r="K6" s="35" t="s">
        <v>1</v>
      </c>
      <c r="L6" s="109">
        <v>44397</v>
      </c>
      <c r="M6"/>
      <c r="N6"/>
      <c r="O6"/>
      <c r="P6"/>
      <c r="Q6"/>
      <c r="R6"/>
    </row>
    <row r="7" spans="2:21" ht="15" customHeight="1" x14ac:dyDescent="0.25">
      <c r="B7" s="2"/>
      <c r="C7" s="2"/>
      <c r="D7" s="2"/>
      <c r="E7" s="2"/>
      <c r="F7" s="2"/>
      <c r="G7" s="2"/>
      <c r="H7" s="2"/>
      <c r="I7" s="2"/>
      <c r="J7" s="36"/>
      <c r="K7" s="2"/>
      <c r="L7" s="8"/>
      <c r="M7"/>
      <c r="N7"/>
      <c r="O7"/>
      <c r="P7"/>
      <c r="Q7"/>
      <c r="R7"/>
    </row>
    <row r="8" spans="2:21" ht="15" customHeight="1" x14ac:dyDescent="0.25">
      <c r="B8" s="3"/>
      <c r="C8" s="3"/>
      <c r="D8" s="3"/>
      <c r="E8" s="3"/>
      <c r="F8" s="3"/>
      <c r="G8" s="3"/>
      <c r="H8" s="3"/>
      <c r="I8" s="3"/>
      <c r="J8" s="37"/>
      <c r="K8" s="3"/>
      <c r="L8" s="8"/>
      <c r="M8"/>
      <c r="N8"/>
      <c r="O8"/>
      <c r="P8"/>
      <c r="Q8"/>
      <c r="R8"/>
    </row>
    <row r="9" spans="2:21" ht="15" customHeight="1" x14ac:dyDescent="0.25">
      <c r="B9" s="4"/>
      <c r="C9" s="4"/>
      <c r="D9" s="4"/>
      <c r="E9" s="4"/>
      <c r="F9" s="4"/>
      <c r="G9" s="4"/>
      <c r="H9" s="4"/>
      <c r="I9" s="4"/>
      <c r="J9" s="38"/>
      <c r="K9" s="4"/>
      <c r="L9" s="9"/>
      <c r="M9"/>
      <c r="N9"/>
      <c r="O9"/>
      <c r="P9"/>
      <c r="Q9"/>
      <c r="R9"/>
    </row>
    <row r="10" spans="2:21" ht="15" customHeight="1" x14ac:dyDescent="0.25">
      <c r="B10"/>
      <c r="C10"/>
      <c r="D10"/>
      <c r="E10"/>
      <c r="F10"/>
      <c r="G10"/>
      <c r="K10" s="14"/>
      <c r="Q10" s="5"/>
      <c r="R10" s="14"/>
    </row>
    <row r="11" spans="2:21" x14ac:dyDescent="0.25">
      <c r="B11"/>
      <c r="C11"/>
      <c r="D11"/>
      <c r="E11"/>
      <c r="F11"/>
      <c r="G11"/>
      <c r="K11" s="14"/>
      <c r="Q11" s="5"/>
      <c r="R11" s="14"/>
    </row>
    <row r="12" spans="2:21" x14ac:dyDescent="0.25">
      <c r="B12"/>
      <c r="C12"/>
      <c r="D12"/>
      <c r="E12"/>
      <c r="F12"/>
      <c r="G12"/>
    </row>
    <row r="13" spans="2:21" x14ac:dyDescent="0.25">
      <c r="B13"/>
      <c r="C13"/>
      <c r="D13"/>
      <c r="E13"/>
      <c r="F13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/>
      <c r="C15"/>
      <c r="D15"/>
      <c r="E15"/>
      <c r="F15"/>
      <c r="G1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  <row r="16" spans="2:21" x14ac:dyDescent="0.25">
      <c r="B16"/>
      <c r="C16"/>
      <c r="D16"/>
      <c r="E16"/>
      <c r="F16"/>
      <c r="G16"/>
    </row>
  </sheetData>
  <sortState xmlns:xlrd2="http://schemas.microsoft.com/office/spreadsheetml/2017/richdata2" ref="B3:L3">
    <sortCondition descending="1" ref="B2:B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A68BB-C515-42E0-9A21-3E1EA479B421}">
  <sheetPr codeName="Planilha10"/>
  <dimension ref="B1:U16"/>
  <sheetViews>
    <sheetView showGridLines="0" zoomScaleNormal="100" workbookViewId="0">
      <selection activeCell="B2" sqref="B2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x14ac:dyDescent="0.25">
      <c r="B2" t="s">
        <v>4</v>
      </c>
      <c r="C2" t="s">
        <v>5</v>
      </c>
      <c r="D2" t="s">
        <v>13</v>
      </c>
      <c r="E2" t="s">
        <v>6</v>
      </c>
      <c r="F2" t="s">
        <v>10</v>
      </c>
      <c r="G2" t="s">
        <v>3</v>
      </c>
      <c r="H2" t="s">
        <v>7</v>
      </c>
      <c r="I2" t="s">
        <v>18</v>
      </c>
      <c r="J2" t="s">
        <v>8</v>
      </c>
      <c r="K2" t="s">
        <v>16</v>
      </c>
      <c r="L2" t="s">
        <v>17</v>
      </c>
      <c r="M2" t="s">
        <v>22</v>
      </c>
      <c r="N2" t="s">
        <v>19</v>
      </c>
      <c r="O2" t="s">
        <v>9</v>
      </c>
      <c r="P2" t="s">
        <v>0</v>
      </c>
      <c r="Q2" t="s">
        <v>15</v>
      </c>
      <c r="R2"/>
    </row>
    <row r="3" spans="2:21" ht="15" customHeight="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15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t="s">
        <v>4</v>
      </c>
      <c r="C5" t="s">
        <v>5</v>
      </c>
      <c r="D5" t="s">
        <v>13</v>
      </c>
      <c r="E5" t="s">
        <v>6</v>
      </c>
      <c r="F5" t="s">
        <v>10</v>
      </c>
      <c r="G5" t="s">
        <v>3</v>
      </c>
      <c r="H5" t="s">
        <v>7</v>
      </c>
      <c r="I5" t="s">
        <v>18</v>
      </c>
      <c r="J5" t="s">
        <v>8</v>
      </c>
      <c r="K5" t="s">
        <v>16</v>
      </c>
      <c r="L5" t="s">
        <v>17</v>
      </c>
      <c r="M5" t="s">
        <v>22</v>
      </c>
      <c r="N5" t="s">
        <v>19</v>
      </c>
      <c r="O5" t="s">
        <v>9</v>
      </c>
      <c r="P5" t="s">
        <v>0</v>
      </c>
      <c r="Q5" t="s">
        <v>15</v>
      </c>
      <c r="R5"/>
    </row>
    <row r="6" spans="2:21" ht="15" customHeight="1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</row>
    <row r="7" spans="2:21" ht="15" customHeight="1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</row>
    <row r="8" spans="2:21" ht="15" customHeight="1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2:21" ht="15" customHeight="1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2:21" ht="15" customHeight="1" x14ac:dyDescent="0.25">
      <c r="B10"/>
      <c r="C10"/>
      <c r="D10"/>
      <c r="E10"/>
      <c r="F10"/>
      <c r="G10"/>
      <c r="K10" s="14"/>
      <c r="Q10" s="5"/>
      <c r="R10" s="14"/>
    </row>
    <row r="11" spans="2:21" x14ac:dyDescent="0.25">
      <c r="B11"/>
      <c r="C11"/>
      <c r="D11"/>
      <c r="E11"/>
      <c r="F11"/>
      <c r="G11"/>
      <c r="K11" s="14"/>
      <c r="Q11" s="5"/>
      <c r="R11" s="14"/>
    </row>
    <row r="12" spans="2:21" x14ac:dyDescent="0.25">
      <c r="B12"/>
      <c r="C12"/>
      <c r="D12"/>
      <c r="E12"/>
      <c r="F12"/>
      <c r="G12"/>
    </row>
    <row r="13" spans="2:21" x14ac:dyDescent="0.25">
      <c r="B13"/>
      <c r="C13"/>
      <c r="D13"/>
      <c r="E13"/>
      <c r="F13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/>
      <c r="C15"/>
      <c r="D15"/>
      <c r="E15"/>
      <c r="F15"/>
      <c r="G1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  <row r="16" spans="2:21" x14ac:dyDescent="0.25">
      <c r="B16"/>
      <c r="C16"/>
      <c r="D16"/>
      <c r="E16"/>
      <c r="F16"/>
      <c r="G1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2DCB72FB27B4428DD42BAF08CC5B0E" ma:contentTypeVersion="5" ma:contentTypeDescription="Create a new document." ma:contentTypeScope="" ma:versionID="d5bad54df6ec38a26eb017a43812b58e">
  <xsd:schema xmlns:xsd="http://www.w3.org/2001/XMLSchema" xmlns:xs="http://www.w3.org/2001/XMLSchema" xmlns:p="http://schemas.microsoft.com/office/2006/metadata/properties" xmlns:ns3="aebe50c9-c76c-43a1-b8ba-65338b2720c9" xmlns:ns4="78d78756-ff5f-4603-b30c-362ca20e020b" targetNamespace="http://schemas.microsoft.com/office/2006/metadata/properties" ma:root="true" ma:fieldsID="681daac2e2d13aa6b345d77a9ce828fd" ns3:_="" ns4:_="">
    <xsd:import namespace="aebe50c9-c76c-43a1-b8ba-65338b2720c9"/>
    <xsd:import namespace="78d78756-ff5f-4603-b30c-362ca20e020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e50c9-c76c-43a1-b8ba-65338b2720c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d78756-ff5f-4603-b30c-362ca20e02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DC5F9D-BE76-44D5-A109-C4F6C5F484E6}">
  <ds:schemaRefs>
    <ds:schemaRef ds:uri="aebe50c9-c76c-43a1-b8ba-65338b2720c9"/>
    <ds:schemaRef ds:uri="http://schemas.microsoft.com/office/2006/metadata/properties"/>
    <ds:schemaRef ds:uri="http://schemas.openxmlformats.org/package/2006/metadata/core-properties"/>
    <ds:schemaRef ds:uri="78d78756-ff5f-4603-b30c-362ca20e020b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836F0E4-1684-4C6A-98BE-166E3B7689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be50c9-c76c-43a1-b8ba-65338b2720c9"/>
    <ds:schemaRef ds:uri="78d78756-ff5f-4603-b30c-362ca20e02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D185E76-F2FA-4E5B-A2E2-2DA6966B261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Página Inicial</vt:lpstr>
      <vt:lpstr>Funcionários</vt:lpstr>
      <vt:lpstr>Produtos</vt:lpstr>
      <vt:lpstr>Clientes</vt:lpstr>
      <vt:lpstr>Contas</vt:lpstr>
      <vt:lpstr>Ordem de Serviço</vt:lpstr>
      <vt:lpstr>Estoque</vt:lpstr>
      <vt:lpstr>Configurações</vt:lpstr>
      <vt:lpstr>FiltroOS</vt:lpstr>
      <vt:lpstr>FiltroFunc</vt:lpstr>
      <vt:lpstr>FiltroOS!Area_de_extracao</vt:lpstr>
      <vt:lpstr>FiltroOS!Criterios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2021-05-27T18:05:57Z</dcterms:created>
  <dcterms:modified xsi:type="dcterms:W3CDTF">2021-07-21T10:36:23Z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0x010100C62DCB72FB27B4428DD42BAF08CC5B0E</vt:lpwstr>
  </property>
  <property fmtid="{D5CDD505-2E9C-101B-9397-08002B2CF9AE}" pid="3" name="WorkbookGuid">
    <vt:lpwstr>b936aec7-cdd9-4d77-809a-28b2b9723ef6</vt:lpwstr>
  </property>
</Properties>
</file>